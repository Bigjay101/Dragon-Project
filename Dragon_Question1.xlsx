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nosoMonicaMokhethi\Downloads\"/>
    </mc:Choice>
  </mc:AlternateContent>
  <xr:revisionPtr revIDLastSave="0" documentId="13_ncr:1_{C74D93B7-4ED9-4BA8-8538-AB347889E63D}" xr6:coauthVersionLast="47" xr6:coauthVersionMax="47" xr10:uidLastSave="{00000000-0000-0000-0000-000000000000}"/>
  <bookViews>
    <workbookView xWindow="-108" yWindow="-108" windowWidth="23256" windowHeight="12456" firstSheet="3" activeTab="8" xr2:uid="{00000000-000D-0000-FFFF-FFFF00000000}"/>
  </bookViews>
  <sheets>
    <sheet name="Training_Set" sheetId="1" r:id="rId1"/>
    <sheet name="TRAIN_MASS" sheetId="3" r:id="rId2"/>
    <sheet name="TRAIN_WSP" sheetId="4" r:id="rId3"/>
    <sheet name="TRAIN_AGE" sheetId="5" r:id="rId4"/>
    <sheet name="Test_Set" sheetId="2" r:id="rId5"/>
    <sheet name="TEST_AGE " sheetId="10" r:id="rId6"/>
    <sheet name="TEST_WSP" sheetId="8" r:id="rId7"/>
    <sheet name="TEST_MASS" sheetId="6" r:id="rId8"/>
    <sheet name="ANSWERS" sheetId="1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1" l="1"/>
  <c r="D3" i="11"/>
  <c r="D4" i="11"/>
  <c r="L10" i="10"/>
  <c r="K10" i="10"/>
  <c r="J10" i="10"/>
  <c r="J2" i="6"/>
  <c r="J9" i="5"/>
  <c r="K9" i="5" s="1"/>
  <c r="J2" i="5"/>
  <c r="G8" i="8"/>
  <c r="G9" i="8"/>
  <c r="G10" i="8"/>
  <c r="G20" i="8"/>
  <c r="G21" i="8"/>
  <c r="G22" i="8"/>
  <c r="G32" i="8"/>
  <c r="G33" i="8"/>
  <c r="G34" i="8"/>
  <c r="G44" i="8"/>
  <c r="G45" i="8"/>
  <c r="G46" i="8"/>
  <c r="G68" i="8"/>
  <c r="G69" i="8"/>
  <c r="G70" i="8"/>
  <c r="G80" i="8"/>
  <c r="G81" i="8"/>
  <c r="G92" i="8"/>
  <c r="G93" i="8"/>
  <c r="G94" i="8"/>
  <c r="F3" i="8"/>
  <c r="G3" i="8" s="1"/>
  <c r="F4" i="8"/>
  <c r="G4" i="8" s="1"/>
  <c r="F5" i="8"/>
  <c r="G5" i="8" s="1"/>
  <c r="F6" i="8"/>
  <c r="G6" i="8" s="1"/>
  <c r="F7" i="8"/>
  <c r="G7" i="8" s="1"/>
  <c r="F8" i="8"/>
  <c r="F9" i="8"/>
  <c r="F10" i="8"/>
  <c r="F11" i="8"/>
  <c r="G11" i="8" s="1"/>
  <c r="F12" i="8"/>
  <c r="G12" i="8" s="1"/>
  <c r="F13" i="8"/>
  <c r="G13" i="8" s="1"/>
  <c r="F14" i="8"/>
  <c r="G14" i="8" s="1"/>
  <c r="F15" i="8"/>
  <c r="G15" i="8" s="1"/>
  <c r="F16" i="8"/>
  <c r="G16" i="8" s="1"/>
  <c r="F17" i="8"/>
  <c r="G17" i="8" s="1"/>
  <c r="F18" i="8"/>
  <c r="G18" i="8" s="1"/>
  <c r="F19" i="8"/>
  <c r="G19" i="8" s="1"/>
  <c r="F20" i="8"/>
  <c r="F21" i="8"/>
  <c r="F22" i="8"/>
  <c r="F23" i="8"/>
  <c r="G23" i="8" s="1"/>
  <c r="F24" i="8"/>
  <c r="G24" i="8" s="1"/>
  <c r="F25" i="8"/>
  <c r="G25" i="8" s="1"/>
  <c r="F26" i="8"/>
  <c r="G26" i="8" s="1"/>
  <c r="F27" i="8"/>
  <c r="G27" i="8" s="1"/>
  <c r="F28" i="8"/>
  <c r="G28" i="8" s="1"/>
  <c r="F29" i="8"/>
  <c r="G29" i="8" s="1"/>
  <c r="F30" i="8"/>
  <c r="G30" i="8" s="1"/>
  <c r="F31" i="8"/>
  <c r="G31" i="8" s="1"/>
  <c r="F32" i="8"/>
  <c r="F33" i="8"/>
  <c r="F34" i="8"/>
  <c r="F35" i="8"/>
  <c r="G35" i="8" s="1"/>
  <c r="F36" i="8"/>
  <c r="G36" i="8" s="1"/>
  <c r="F37" i="8"/>
  <c r="G37" i="8" s="1"/>
  <c r="F38" i="8"/>
  <c r="G38" i="8" s="1"/>
  <c r="F39" i="8"/>
  <c r="G39" i="8" s="1"/>
  <c r="F40" i="8"/>
  <c r="G40" i="8" s="1"/>
  <c r="F41" i="8"/>
  <c r="G41" i="8" s="1"/>
  <c r="F42" i="8"/>
  <c r="G42" i="8" s="1"/>
  <c r="F43" i="8"/>
  <c r="G43" i="8" s="1"/>
  <c r="F44" i="8"/>
  <c r="F45" i="8"/>
  <c r="F46" i="8"/>
  <c r="F47" i="8"/>
  <c r="G47" i="8" s="1"/>
  <c r="F48" i="8"/>
  <c r="G48" i="8" s="1"/>
  <c r="F49" i="8"/>
  <c r="G49" i="8" s="1"/>
  <c r="F50" i="8"/>
  <c r="G50" i="8" s="1"/>
  <c r="F51" i="8"/>
  <c r="G51" i="8" s="1"/>
  <c r="F52" i="8"/>
  <c r="G52" i="8" s="1"/>
  <c r="F53" i="8"/>
  <c r="G53" i="8" s="1"/>
  <c r="F54" i="8"/>
  <c r="G54" i="8" s="1"/>
  <c r="F55" i="8"/>
  <c r="G55" i="8" s="1"/>
  <c r="F56" i="8"/>
  <c r="G56" i="8" s="1"/>
  <c r="F57" i="8"/>
  <c r="G57" i="8" s="1"/>
  <c r="F58" i="8"/>
  <c r="G58" i="8" s="1"/>
  <c r="F59" i="8"/>
  <c r="G59" i="8" s="1"/>
  <c r="F60" i="8"/>
  <c r="G60" i="8" s="1"/>
  <c r="F61" i="8"/>
  <c r="G61" i="8" s="1"/>
  <c r="F62" i="8"/>
  <c r="G62" i="8" s="1"/>
  <c r="F63" i="8"/>
  <c r="G63" i="8" s="1"/>
  <c r="F64" i="8"/>
  <c r="G64" i="8" s="1"/>
  <c r="F65" i="8"/>
  <c r="G65" i="8" s="1"/>
  <c r="F66" i="8"/>
  <c r="G66" i="8" s="1"/>
  <c r="F67" i="8"/>
  <c r="G67" i="8" s="1"/>
  <c r="F68" i="8"/>
  <c r="F69" i="8"/>
  <c r="F70" i="8"/>
  <c r="F71" i="8"/>
  <c r="G71" i="8" s="1"/>
  <c r="F72" i="8"/>
  <c r="G72" i="8" s="1"/>
  <c r="F73" i="8"/>
  <c r="G73" i="8" s="1"/>
  <c r="F74" i="8"/>
  <c r="G74" i="8" s="1"/>
  <c r="F75" i="8"/>
  <c r="G75" i="8" s="1"/>
  <c r="F76" i="8"/>
  <c r="G76" i="8" s="1"/>
  <c r="F77" i="8"/>
  <c r="G77" i="8" s="1"/>
  <c r="F78" i="8"/>
  <c r="G78" i="8" s="1"/>
  <c r="F79" i="8"/>
  <c r="G79" i="8" s="1"/>
  <c r="F80" i="8"/>
  <c r="F81" i="8"/>
  <c r="F82" i="8"/>
  <c r="G82" i="8" s="1"/>
  <c r="F83" i="8"/>
  <c r="G83" i="8" s="1"/>
  <c r="F84" i="8"/>
  <c r="G84" i="8" s="1"/>
  <c r="F85" i="8"/>
  <c r="G85" i="8" s="1"/>
  <c r="F86" i="8"/>
  <c r="G86" i="8" s="1"/>
  <c r="F87" i="8"/>
  <c r="G87" i="8" s="1"/>
  <c r="F88" i="8"/>
  <c r="G88" i="8" s="1"/>
  <c r="F89" i="8"/>
  <c r="G89" i="8" s="1"/>
  <c r="F90" i="8"/>
  <c r="G90" i="8" s="1"/>
  <c r="F91" i="8"/>
  <c r="G91" i="8" s="1"/>
  <c r="F92" i="8"/>
  <c r="F93" i="8"/>
  <c r="F94" i="8"/>
  <c r="F95" i="8"/>
  <c r="G95" i="8" s="1"/>
  <c r="F96" i="8"/>
  <c r="G96" i="8" s="1"/>
  <c r="F97" i="8"/>
  <c r="G97" i="8" s="1"/>
  <c r="F98" i="8"/>
  <c r="G98" i="8" s="1"/>
  <c r="F99" i="8"/>
  <c r="G99" i="8" s="1"/>
  <c r="F100" i="8"/>
  <c r="G100" i="8" s="1"/>
  <c r="F101" i="8"/>
  <c r="G101" i="8" s="1"/>
  <c r="F2" i="8"/>
  <c r="G2" i="8" s="1"/>
  <c r="D6" i="8"/>
  <c r="E6" i="8" s="1"/>
  <c r="D7" i="8"/>
  <c r="E7" i="8" s="1"/>
  <c r="D8" i="8"/>
  <c r="E8" i="8" s="1"/>
  <c r="D9" i="8"/>
  <c r="E9" i="8" s="1"/>
  <c r="D10" i="8"/>
  <c r="E10" i="8" s="1"/>
  <c r="D30" i="8"/>
  <c r="E30" i="8" s="1"/>
  <c r="D31" i="8"/>
  <c r="E31" i="8" s="1"/>
  <c r="D32" i="8"/>
  <c r="E32" i="8" s="1"/>
  <c r="D33" i="8"/>
  <c r="E33" i="8" s="1"/>
  <c r="D34" i="8"/>
  <c r="E34" i="8" s="1"/>
  <c r="D42" i="8"/>
  <c r="E42" i="8" s="1"/>
  <c r="D43" i="8"/>
  <c r="E43" i="8" s="1"/>
  <c r="D66" i="8"/>
  <c r="E66" i="8" s="1"/>
  <c r="D67" i="8"/>
  <c r="E67" i="8" s="1"/>
  <c r="D68" i="8"/>
  <c r="E68" i="8" s="1"/>
  <c r="D69" i="8"/>
  <c r="E69" i="8" s="1"/>
  <c r="D90" i="8"/>
  <c r="E90" i="8" s="1"/>
  <c r="D91" i="8"/>
  <c r="E91" i="8" s="1"/>
  <c r="D92" i="8"/>
  <c r="E92" i="8" s="1"/>
  <c r="D93" i="8"/>
  <c r="E93" i="8" s="1"/>
  <c r="D94" i="8"/>
  <c r="E94" i="8" s="1"/>
  <c r="D2" i="8"/>
  <c r="E2" i="8" s="1"/>
  <c r="C3" i="8"/>
  <c r="D3" i="8" s="1"/>
  <c r="E3" i="8" s="1"/>
  <c r="C4" i="8"/>
  <c r="D4" i="8" s="1"/>
  <c r="E4" i="8" s="1"/>
  <c r="C5" i="8"/>
  <c r="D5" i="8" s="1"/>
  <c r="E5" i="8" s="1"/>
  <c r="C6" i="8"/>
  <c r="C7" i="8"/>
  <c r="C8" i="8"/>
  <c r="C9" i="8"/>
  <c r="C10" i="8"/>
  <c r="C11" i="8"/>
  <c r="D11" i="8" s="1"/>
  <c r="E11" i="8" s="1"/>
  <c r="C12" i="8"/>
  <c r="D12" i="8" s="1"/>
  <c r="E12" i="8" s="1"/>
  <c r="C13" i="8"/>
  <c r="D13" i="8" s="1"/>
  <c r="E13" i="8" s="1"/>
  <c r="C14" i="8"/>
  <c r="D14" i="8" s="1"/>
  <c r="E14" i="8" s="1"/>
  <c r="C15" i="8"/>
  <c r="D15" i="8" s="1"/>
  <c r="E15" i="8" s="1"/>
  <c r="C16" i="8"/>
  <c r="D16" i="8" s="1"/>
  <c r="E16" i="8" s="1"/>
  <c r="C17" i="8"/>
  <c r="D17" i="8" s="1"/>
  <c r="E17" i="8" s="1"/>
  <c r="C18" i="8"/>
  <c r="D18" i="8" s="1"/>
  <c r="E18" i="8" s="1"/>
  <c r="C19" i="8"/>
  <c r="D19" i="8" s="1"/>
  <c r="E19" i="8" s="1"/>
  <c r="C20" i="8"/>
  <c r="D20" i="8" s="1"/>
  <c r="E20" i="8" s="1"/>
  <c r="C21" i="8"/>
  <c r="D21" i="8" s="1"/>
  <c r="E21" i="8" s="1"/>
  <c r="C22" i="8"/>
  <c r="D22" i="8" s="1"/>
  <c r="E22" i="8" s="1"/>
  <c r="C23" i="8"/>
  <c r="D23" i="8" s="1"/>
  <c r="E23" i="8" s="1"/>
  <c r="C24" i="8"/>
  <c r="D24" i="8" s="1"/>
  <c r="E24" i="8" s="1"/>
  <c r="C25" i="8"/>
  <c r="D25" i="8" s="1"/>
  <c r="E25" i="8" s="1"/>
  <c r="C26" i="8"/>
  <c r="D26" i="8" s="1"/>
  <c r="E26" i="8" s="1"/>
  <c r="C27" i="8"/>
  <c r="D27" i="8" s="1"/>
  <c r="E27" i="8" s="1"/>
  <c r="C28" i="8"/>
  <c r="D28" i="8" s="1"/>
  <c r="E28" i="8" s="1"/>
  <c r="C29" i="8"/>
  <c r="D29" i="8" s="1"/>
  <c r="E29" i="8" s="1"/>
  <c r="C30" i="8"/>
  <c r="C31" i="8"/>
  <c r="C32" i="8"/>
  <c r="C33" i="8"/>
  <c r="C34" i="8"/>
  <c r="C35" i="8"/>
  <c r="D35" i="8" s="1"/>
  <c r="E35" i="8" s="1"/>
  <c r="C36" i="8"/>
  <c r="D36" i="8" s="1"/>
  <c r="E36" i="8" s="1"/>
  <c r="C37" i="8"/>
  <c r="D37" i="8" s="1"/>
  <c r="E37" i="8" s="1"/>
  <c r="C38" i="8"/>
  <c r="D38" i="8" s="1"/>
  <c r="E38" i="8" s="1"/>
  <c r="C39" i="8"/>
  <c r="D39" i="8" s="1"/>
  <c r="E39" i="8" s="1"/>
  <c r="C40" i="8"/>
  <c r="D40" i="8" s="1"/>
  <c r="E40" i="8" s="1"/>
  <c r="C41" i="8"/>
  <c r="D41" i="8" s="1"/>
  <c r="E41" i="8" s="1"/>
  <c r="C42" i="8"/>
  <c r="C43" i="8"/>
  <c r="C44" i="8"/>
  <c r="D44" i="8" s="1"/>
  <c r="E44" i="8" s="1"/>
  <c r="C45" i="8"/>
  <c r="D45" i="8" s="1"/>
  <c r="E45" i="8" s="1"/>
  <c r="C46" i="8"/>
  <c r="D46" i="8" s="1"/>
  <c r="E46" i="8" s="1"/>
  <c r="C47" i="8"/>
  <c r="D47" i="8" s="1"/>
  <c r="E47" i="8" s="1"/>
  <c r="C48" i="8"/>
  <c r="D48" i="8" s="1"/>
  <c r="E48" i="8" s="1"/>
  <c r="C49" i="8"/>
  <c r="D49" i="8" s="1"/>
  <c r="E49" i="8" s="1"/>
  <c r="C50" i="8"/>
  <c r="D50" i="8" s="1"/>
  <c r="E50" i="8" s="1"/>
  <c r="C51" i="8"/>
  <c r="D51" i="8" s="1"/>
  <c r="E51" i="8" s="1"/>
  <c r="C52" i="8"/>
  <c r="D52" i="8" s="1"/>
  <c r="E52" i="8" s="1"/>
  <c r="C53" i="8"/>
  <c r="D53" i="8" s="1"/>
  <c r="E53" i="8" s="1"/>
  <c r="C54" i="8"/>
  <c r="D54" i="8" s="1"/>
  <c r="E54" i="8" s="1"/>
  <c r="C55" i="8"/>
  <c r="D55" i="8" s="1"/>
  <c r="E55" i="8" s="1"/>
  <c r="C56" i="8"/>
  <c r="D56" i="8" s="1"/>
  <c r="E56" i="8" s="1"/>
  <c r="C57" i="8"/>
  <c r="D57" i="8" s="1"/>
  <c r="E57" i="8" s="1"/>
  <c r="C58" i="8"/>
  <c r="D58" i="8" s="1"/>
  <c r="E58" i="8" s="1"/>
  <c r="C59" i="8"/>
  <c r="D59" i="8" s="1"/>
  <c r="E59" i="8" s="1"/>
  <c r="C60" i="8"/>
  <c r="D60" i="8" s="1"/>
  <c r="E60" i="8" s="1"/>
  <c r="C61" i="8"/>
  <c r="D61" i="8" s="1"/>
  <c r="E61" i="8" s="1"/>
  <c r="C62" i="8"/>
  <c r="D62" i="8" s="1"/>
  <c r="E62" i="8" s="1"/>
  <c r="C63" i="8"/>
  <c r="D63" i="8" s="1"/>
  <c r="E63" i="8" s="1"/>
  <c r="C64" i="8"/>
  <c r="D64" i="8" s="1"/>
  <c r="E64" i="8" s="1"/>
  <c r="C65" i="8"/>
  <c r="D65" i="8" s="1"/>
  <c r="E65" i="8" s="1"/>
  <c r="C66" i="8"/>
  <c r="C67" i="8"/>
  <c r="C68" i="8"/>
  <c r="C69" i="8"/>
  <c r="C70" i="8"/>
  <c r="D70" i="8" s="1"/>
  <c r="E70" i="8" s="1"/>
  <c r="C71" i="8"/>
  <c r="D71" i="8" s="1"/>
  <c r="E71" i="8" s="1"/>
  <c r="C72" i="8"/>
  <c r="D72" i="8" s="1"/>
  <c r="E72" i="8" s="1"/>
  <c r="C73" i="8"/>
  <c r="D73" i="8" s="1"/>
  <c r="E73" i="8" s="1"/>
  <c r="C74" i="8"/>
  <c r="D74" i="8" s="1"/>
  <c r="E74" i="8" s="1"/>
  <c r="C75" i="8"/>
  <c r="D75" i="8" s="1"/>
  <c r="E75" i="8" s="1"/>
  <c r="C76" i="8"/>
  <c r="D76" i="8" s="1"/>
  <c r="E76" i="8" s="1"/>
  <c r="C77" i="8"/>
  <c r="D77" i="8" s="1"/>
  <c r="E77" i="8" s="1"/>
  <c r="C78" i="8"/>
  <c r="D78" i="8" s="1"/>
  <c r="E78" i="8" s="1"/>
  <c r="C79" i="8"/>
  <c r="D79" i="8" s="1"/>
  <c r="E79" i="8" s="1"/>
  <c r="C80" i="8"/>
  <c r="D80" i="8" s="1"/>
  <c r="E80" i="8" s="1"/>
  <c r="C81" i="8"/>
  <c r="D81" i="8" s="1"/>
  <c r="E81" i="8" s="1"/>
  <c r="C82" i="8"/>
  <c r="D82" i="8" s="1"/>
  <c r="E82" i="8" s="1"/>
  <c r="C83" i="8"/>
  <c r="D83" i="8" s="1"/>
  <c r="E83" i="8" s="1"/>
  <c r="C84" i="8"/>
  <c r="D84" i="8" s="1"/>
  <c r="E84" i="8" s="1"/>
  <c r="C85" i="8"/>
  <c r="D85" i="8" s="1"/>
  <c r="E85" i="8" s="1"/>
  <c r="C86" i="8"/>
  <c r="D86" i="8" s="1"/>
  <c r="E86" i="8" s="1"/>
  <c r="C87" i="8"/>
  <c r="D87" i="8" s="1"/>
  <c r="E87" i="8" s="1"/>
  <c r="C88" i="8"/>
  <c r="D88" i="8" s="1"/>
  <c r="E88" i="8" s="1"/>
  <c r="C89" i="8"/>
  <c r="D89" i="8" s="1"/>
  <c r="E89" i="8" s="1"/>
  <c r="C90" i="8"/>
  <c r="C91" i="8"/>
  <c r="C92" i="8"/>
  <c r="C93" i="8"/>
  <c r="C94" i="8"/>
  <c r="C95" i="8"/>
  <c r="D95" i="8" s="1"/>
  <c r="E95" i="8" s="1"/>
  <c r="C96" i="8"/>
  <c r="D96" i="8" s="1"/>
  <c r="E96" i="8" s="1"/>
  <c r="C97" i="8"/>
  <c r="D97" i="8" s="1"/>
  <c r="E97" i="8" s="1"/>
  <c r="C98" i="8"/>
  <c r="D98" i="8" s="1"/>
  <c r="E98" i="8" s="1"/>
  <c r="C99" i="8"/>
  <c r="D99" i="8" s="1"/>
  <c r="E99" i="8" s="1"/>
  <c r="C100" i="8"/>
  <c r="D100" i="8" s="1"/>
  <c r="E100" i="8" s="1"/>
  <c r="C101" i="8"/>
  <c r="D101" i="8" s="1"/>
  <c r="E101" i="8" s="1"/>
  <c r="C2" i="8"/>
  <c r="G3" i="6"/>
  <c r="G4" i="6"/>
  <c r="G8" i="6"/>
  <c r="G10" i="6"/>
  <c r="G13" i="6"/>
  <c r="G14" i="6"/>
  <c r="G15" i="6"/>
  <c r="G16" i="6"/>
  <c r="G20" i="6"/>
  <c r="G22" i="6"/>
  <c r="G25" i="6"/>
  <c r="G26" i="6"/>
  <c r="G27" i="6"/>
  <c r="G28" i="6"/>
  <c r="G32" i="6"/>
  <c r="G34" i="6"/>
  <c r="G37" i="6"/>
  <c r="G38" i="6"/>
  <c r="G39" i="6"/>
  <c r="G40" i="6"/>
  <c r="G44" i="6"/>
  <c r="G46" i="6"/>
  <c r="G49" i="6"/>
  <c r="G50" i="6"/>
  <c r="G51" i="6"/>
  <c r="G52" i="6"/>
  <c r="G56" i="6"/>
  <c r="G58" i="6"/>
  <c r="G61" i="6"/>
  <c r="G62" i="6"/>
  <c r="G63" i="6"/>
  <c r="G64" i="6"/>
  <c r="G68" i="6"/>
  <c r="G70" i="6"/>
  <c r="G73" i="6"/>
  <c r="G74" i="6"/>
  <c r="G75" i="6"/>
  <c r="G76" i="6"/>
  <c r="G80" i="6"/>
  <c r="G82" i="6"/>
  <c r="G85" i="6"/>
  <c r="G86" i="6"/>
  <c r="G87" i="6"/>
  <c r="G88" i="6"/>
  <c r="G92" i="6"/>
  <c r="G94" i="6"/>
  <c r="G97" i="6"/>
  <c r="G98" i="6"/>
  <c r="G99" i="6"/>
  <c r="G100" i="6"/>
  <c r="E4" i="6"/>
  <c r="E16" i="6"/>
  <c r="E28" i="6"/>
  <c r="E40" i="6"/>
  <c r="E52" i="6"/>
  <c r="E64" i="6"/>
  <c r="E76" i="6"/>
  <c r="E88" i="6"/>
  <c r="E100" i="6"/>
  <c r="F3" i="6"/>
  <c r="F4" i="6"/>
  <c r="F5" i="6"/>
  <c r="G5" i="6" s="1"/>
  <c r="F6" i="6"/>
  <c r="G6" i="6" s="1"/>
  <c r="F7" i="6"/>
  <c r="G7" i="6" s="1"/>
  <c r="F8" i="6"/>
  <c r="F9" i="6"/>
  <c r="G9" i="6" s="1"/>
  <c r="F10" i="6"/>
  <c r="F11" i="6"/>
  <c r="G11" i="6" s="1"/>
  <c r="F12" i="6"/>
  <c r="G12" i="6" s="1"/>
  <c r="F13" i="6"/>
  <c r="F14" i="6"/>
  <c r="F15" i="6"/>
  <c r="F16" i="6"/>
  <c r="F17" i="6"/>
  <c r="G17" i="6" s="1"/>
  <c r="F18" i="6"/>
  <c r="G18" i="6" s="1"/>
  <c r="F19" i="6"/>
  <c r="G19" i="6" s="1"/>
  <c r="F20" i="6"/>
  <c r="F21" i="6"/>
  <c r="G21" i="6" s="1"/>
  <c r="F22" i="6"/>
  <c r="F23" i="6"/>
  <c r="G23" i="6" s="1"/>
  <c r="F24" i="6"/>
  <c r="G24" i="6" s="1"/>
  <c r="F25" i="6"/>
  <c r="F26" i="6"/>
  <c r="F27" i="6"/>
  <c r="F28" i="6"/>
  <c r="F29" i="6"/>
  <c r="G29" i="6" s="1"/>
  <c r="F30" i="6"/>
  <c r="G30" i="6" s="1"/>
  <c r="F31" i="6"/>
  <c r="G31" i="6" s="1"/>
  <c r="F32" i="6"/>
  <c r="F33" i="6"/>
  <c r="G33" i="6" s="1"/>
  <c r="F34" i="6"/>
  <c r="F35" i="6"/>
  <c r="G35" i="6" s="1"/>
  <c r="F36" i="6"/>
  <c r="G36" i="6" s="1"/>
  <c r="F37" i="6"/>
  <c r="F38" i="6"/>
  <c r="F39" i="6"/>
  <c r="F40" i="6"/>
  <c r="F41" i="6"/>
  <c r="G41" i="6" s="1"/>
  <c r="F42" i="6"/>
  <c r="G42" i="6" s="1"/>
  <c r="F43" i="6"/>
  <c r="G43" i="6" s="1"/>
  <c r="F44" i="6"/>
  <c r="F45" i="6"/>
  <c r="G45" i="6" s="1"/>
  <c r="F46" i="6"/>
  <c r="F47" i="6"/>
  <c r="G47" i="6" s="1"/>
  <c r="F48" i="6"/>
  <c r="G48" i="6" s="1"/>
  <c r="F49" i="6"/>
  <c r="F50" i="6"/>
  <c r="F51" i="6"/>
  <c r="F52" i="6"/>
  <c r="F53" i="6"/>
  <c r="G53" i="6" s="1"/>
  <c r="F54" i="6"/>
  <c r="G54" i="6" s="1"/>
  <c r="F55" i="6"/>
  <c r="G55" i="6" s="1"/>
  <c r="F56" i="6"/>
  <c r="F57" i="6"/>
  <c r="G57" i="6" s="1"/>
  <c r="F58" i="6"/>
  <c r="F59" i="6"/>
  <c r="G59" i="6" s="1"/>
  <c r="F60" i="6"/>
  <c r="G60" i="6" s="1"/>
  <c r="F61" i="6"/>
  <c r="F62" i="6"/>
  <c r="F63" i="6"/>
  <c r="F64" i="6"/>
  <c r="F65" i="6"/>
  <c r="G65" i="6" s="1"/>
  <c r="F66" i="6"/>
  <c r="G66" i="6" s="1"/>
  <c r="F67" i="6"/>
  <c r="G67" i="6" s="1"/>
  <c r="F68" i="6"/>
  <c r="F69" i="6"/>
  <c r="G69" i="6" s="1"/>
  <c r="F70" i="6"/>
  <c r="F71" i="6"/>
  <c r="G71" i="6" s="1"/>
  <c r="F72" i="6"/>
  <c r="G72" i="6" s="1"/>
  <c r="F73" i="6"/>
  <c r="F74" i="6"/>
  <c r="F75" i="6"/>
  <c r="F76" i="6"/>
  <c r="F77" i="6"/>
  <c r="G77" i="6" s="1"/>
  <c r="F78" i="6"/>
  <c r="G78" i="6" s="1"/>
  <c r="F79" i="6"/>
  <c r="G79" i="6" s="1"/>
  <c r="F80" i="6"/>
  <c r="F81" i="6"/>
  <c r="G81" i="6" s="1"/>
  <c r="F82" i="6"/>
  <c r="F83" i="6"/>
  <c r="G83" i="6" s="1"/>
  <c r="F84" i="6"/>
  <c r="G84" i="6" s="1"/>
  <c r="F85" i="6"/>
  <c r="F86" i="6"/>
  <c r="F87" i="6"/>
  <c r="F88" i="6"/>
  <c r="F89" i="6"/>
  <c r="G89" i="6" s="1"/>
  <c r="F90" i="6"/>
  <c r="G90" i="6" s="1"/>
  <c r="F91" i="6"/>
  <c r="G91" i="6" s="1"/>
  <c r="F92" i="6"/>
  <c r="F93" i="6"/>
  <c r="G93" i="6" s="1"/>
  <c r="F94" i="6"/>
  <c r="F95" i="6"/>
  <c r="G95" i="6" s="1"/>
  <c r="F96" i="6"/>
  <c r="G96" i="6" s="1"/>
  <c r="F97" i="6"/>
  <c r="F98" i="6"/>
  <c r="F99" i="6"/>
  <c r="F100" i="6"/>
  <c r="F101" i="6"/>
  <c r="G101" i="6" s="1"/>
  <c r="F2" i="6"/>
  <c r="G2" i="6" s="1"/>
  <c r="D3" i="6"/>
  <c r="E3" i="6" s="1"/>
  <c r="D4" i="6"/>
  <c r="D8" i="6"/>
  <c r="E8" i="6" s="1"/>
  <c r="D14" i="6"/>
  <c r="E14" i="6" s="1"/>
  <c r="D15" i="6"/>
  <c r="E15" i="6" s="1"/>
  <c r="D16" i="6"/>
  <c r="D20" i="6"/>
  <c r="E20" i="6" s="1"/>
  <c r="D26" i="6"/>
  <c r="E26" i="6" s="1"/>
  <c r="D27" i="6"/>
  <c r="E27" i="6" s="1"/>
  <c r="D28" i="6"/>
  <c r="D32" i="6"/>
  <c r="E32" i="6" s="1"/>
  <c r="D38" i="6"/>
  <c r="E38" i="6" s="1"/>
  <c r="D39" i="6"/>
  <c r="E39" i="6" s="1"/>
  <c r="D40" i="6"/>
  <c r="D44" i="6"/>
  <c r="E44" i="6" s="1"/>
  <c r="D50" i="6"/>
  <c r="E50" i="6" s="1"/>
  <c r="D51" i="6"/>
  <c r="E51" i="6" s="1"/>
  <c r="D52" i="6"/>
  <c r="D56" i="6"/>
  <c r="E56" i="6" s="1"/>
  <c r="D62" i="6"/>
  <c r="E62" i="6" s="1"/>
  <c r="D63" i="6"/>
  <c r="E63" i="6" s="1"/>
  <c r="D64" i="6"/>
  <c r="D68" i="6"/>
  <c r="E68" i="6" s="1"/>
  <c r="D74" i="6"/>
  <c r="E74" i="6" s="1"/>
  <c r="D75" i="6"/>
  <c r="E75" i="6" s="1"/>
  <c r="D76" i="6"/>
  <c r="D80" i="6"/>
  <c r="E80" i="6" s="1"/>
  <c r="D86" i="6"/>
  <c r="E86" i="6" s="1"/>
  <c r="D87" i="6"/>
  <c r="E87" i="6" s="1"/>
  <c r="D88" i="6"/>
  <c r="D92" i="6"/>
  <c r="E92" i="6" s="1"/>
  <c r="D98" i="6"/>
  <c r="E98" i="6" s="1"/>
  <c r="D99" i="6"/>
  <c r="E99" i="6" s="1"/>
  <c r="D100" i="6"/>
  <c r="F3" i="10"/>
  <c r="G3" i="10" s="1"/>
  <c r="F4" i="10"/>
  <c r="F5" i="10"/>
  <c r="F6" i="10"/>
  <c r="F7" i="10"/>
  <c r="F8" i="10"/>
  <c r="F9" i="10"/>
  <c r="F10" i="10"/>
  <c r="F11" i="10"/>
  <c r="F12" i="10"/>
  <c r="G12" i="10" s="1"/>
  <c r="F13" i="10"/>
  <c r="G13" i="10" s="1"/>
  <c r="F14" i="10"/>
  <c r="G14" i="10" s="1"/>
  <c r="F15" i="10"/>
  <c r="G15" i="10" s="1"/>
  <c r="F16" i="10"/>
  <c r="G16" i="10" s="1"/>
  <c r="F17" i="10"/>
  <c r="F18" i="10"/>
  <c r="F19" i="10"/>
  <c r="F20" i="10"/>
  <c r="F21" i="10"/>
  <c r="F22" i="10"/>
  <c r="F23" i="10"/>
  <c r="F24" i="10"/>
  <c r="G24" i="10" s="1"/>
  <c r="F25" i="10"/>
  <c r="G25" i="10" s="1"/>
  <c r="F26" i="10"/>
  <c r="G26" i="10" s="1"/>
  <c r="F27" i="10"/>
  <c r="G27" i="10" s="1"/>
  <c r="F28" i="10"/>
  <c r="G28" i="10" s="1"/>
  <c r="F29" i="10"/>
  <c r="G29" i="10" s="1"/>
  <c r="F30" i="10"/>
  <c r="F31" i="10"/>
  <c r="F32" i="10"/>
  <c r="F33" i="10"/>
  <c r="F34" i="10"/>
  <c r="F35" i="10"/>
  <c r="F36" i="10"/>
  <c r="G36" i="10" s="1"/>
  <c r="F37" i="10"/>
  <c r="G37" i="10" s="1"/>
  <c r="F38" i="10"/>
  <c r="G38" i="10" s="1"/>
  <c r="F39" i="10"/>
  <c r="G39" i="10" s="1"/>
  <c r="F40" i="10"/>
  <c r="G40" i="10" s="1"/>
  <c r="F41" i="10"/>
  <c r="G41" i="10" s="1"/>
  <c r="F42" i="10"/>
  <c r="G42" i="10" s="1"/>
  <c r="F43" i="10"/>
  <c r="F44" i="10"/>
  <c r="F45" i="10"/>
  <c r="F46" i="10"/>
  <c r="F47" i="10"/>
  <c r="G47" i="10" s="1"/>
  <c r="F48" i="10"/>
  <c r="G48" i="10" s="1"/>
  <c r="F49" i="10"/>
  <c r="G49" i="10" s="1"/>
  <c r="F50" i="10"/>
  <c r="G50" i="10" s="1"/>
  <c r="F51" i="10"/>
  <c r="F52" i="10"/>
  <c r="G52" i="10" s="1"/>
  <c r="F53" i="10"/>
  <c r="G53" i="10" s="1"/>
  <c r="F54" i="10"/>
  <c r="G54" i="10" s="1"/>
  <c r="F55" i="10"/>
  <c r="F56" i="10"/>
  <c r="F57" i="10"/>
  <c r="F58" i="10"/>
  <c r="F59" i="10"/>
  <c r="F60" i="10"/>
  <c r="G60" i="10" s="1"/>
  <c r="F61" i="10"/>
  <c r="G61" i="10" s="1"/>
  <c r="F62" i="10"/>
  <c r="G62" i="10" s="1"/>
  <c r="F63" i="10"/>
  <c r="F64" i="10"/>
  <c r="F65" i="10"/>
  <c r="G65" i="10" s="1"/>
  <c r="F66" i="10"/>
  <c r="G66" i="10" s="1"/>
  <c r="F67" i="10"/>
  <c r="F68" i="10"/>
  <c r="F69" i="10"/>
  <c r="F70" i="10"/>
  <c r="F71" i="10"/>
  <c r="F72" i="10"/>
  <c r="F73" i="10"/>
  <c r="G73" i="10" s="1"/>
  <c r="F74" i="10"/>
  <c r="G74" i="10" s="1"/>
  <c r="F75" i="10"/>
  <c r="F76" i="10"/>
  <c r="F77" i="10"/>
  <c r="F78" i="10"/>
  <c r="G78" i="10" s="1"/>
  <c r="F79" i="10"/>
  <c r="F80" i="10"/>
  <c r="F81" i="10"/>
  <c r="F82" i="10"/>
  <c r="F83" i="10"/>
  <c r="F84" i="10"/>
  <c r="F85" i="10"/>
  <c r="F86" i="10"/>
  <c r="G86" i="10" s="1"/>
  <c r="F87" i="10"/>
  <c r="F88" i="10"/>
  <c r="F89" i="10"/>
  <c r="F90" i="10"/>
  <c r="F91" i="10"/>
  <c r="F92" i="10"/>
  <c r="F93" i="10"/>
  <c r="F94" i="10"/>
  <c r="F95" i="10"/>
  <c r="F96" i="10"/>
  <c r="F97" i="10"/>
  <c r="F98" i="10"/>
  <c r="G98" i="10" s="1"/>
  <c r="F99" i="10"/>
  <c r="F100" i="10"/>
  <c r="F101" i="10"/>
  <c r="F2" i="10"/>
  <c r="C3" i="6"/>
  <c r="C4" i="6"/>
  <c r="C5" i="6"/>
  <c r="D5" i="6" s="1"/>
  <c r="E5" i="6" s="1"/>
  <c r="C6" i="6"/>
  <c r="D6" i="6" s="1"/>
  <c r="E6" i="6" s="1"/>
  <c r="C7" i="6"/>
  <c r="D7" i="6" s="1"/>
  <c r="E7" i="6" s="1"/>
  <c r="C8" i="6"/>
  <c r="C9" i="6"/>
  <c r="D9" i="6" s="1"/>
  <c r="E9" i="6" s="1"/>
  <c r="C10" i="6"/>
  <c r="D10" i="6" s="1"/>
  <c r="E10" i="6" s="1"/>
  <c r="C11" i="6"/>
  <c r="D11" i="6" s="1"/>
  <c r="E11" i="6" s="1"/>
  <c r="C12" i="6"/>
  <c r="D12" i="6" s="1"/>
  <c r="E12" i="6" s="1"/>
  <c r="C13" i="6"/>
  <c r="D13" i="6" s="1"/>
  <c r="E13" i="6" s="1"/>
  <c r="C14" i="6"/>
  <c r="C15" i="6"/>
  <c r="C16" i="6"/>
  <c r="C17" i="6"/>
  <c r="D17" i="6" s="1"/>
  <c r="E17" i="6" s="1"/>
  <c r="C18" i="6"/>
  <c r="D18" i="6" s="1"/>
  <c r="E18" i="6" s="1"/>
  <c r="C19" i="6"/>
  <c r="D19" i="6" s="1"/>
  <c r="E19" i="6" s="1"/>
  <c r="C20" i="6"/>
  <c r="C21" i="6"/>
  <c r="D21" i="6" s="1"/>
  <c r="E21" i="6" s="1"/>
  <c r="C22" i="6"/>
  <c r="D22" i="6" s="1"/>
  <c r="E22" i="6" s="1"/>
  <c r="C23" i="6"/>
  <c r="D23" i="6" s="1"/>
  <c r="E23" i="6" s="1"/>
  <c r="C24" i="6"/>
  <c r="D24" i="6" s="1"/>
  <c r="E24" i="6" s="1"/>
  <c r="C25" i="6"/>
  <c r="D25" i="6" s="1"/>
  <c r="E25" i="6" s="1"/>
  <c r="C26" i="6"/>
  <c r="C27" i="6"/>
  <c r="C28" i="6"/>
  <c r="C29" i="6"/>
  <c r="D29" i="6" s="1"/>
  <c r="E29" i="6" s="1"/>
  <c r="C30" i="6"/>
  <c r="D30" i="6" s="1"/>
  <c r="E30" i="6" s="1"/>
  <c r="C31" i="6"/>
  <c r="D31" i="6" s="1"/>
  <c r="E31" i="6" s="1"/>
  <c r="C32" i="6"/>
  <c r="C33" i="6"/>
  <c r="D33" i="6" s="1"/>
  <c r="E33" i="6" s="1"/>
  <c r="C34" i="6"/>
  <c r="D34" i="6" s="1"/>
  <c r="E34" i="6" s="1"/>
  <c r="C35" i="6"/>
  <c r="D35" i="6" s="1"/>
  <c r="E35" i="6" s="1"/>
  <c r="C36" i="6"/>
  <c r="D36" i="6" s="1"/>
  <c r="E36" i="6" s="1"/>
  <c r="C37" i="6"/>
  <c r="D37" i="6" s="1"/>
  <c r="E37" i="6" s="1"/>
  <c r="C38" i="6"/>
  <c r="C39" i="6"/>
  <c r="C40" i="6"/>
  <c r="C41" i="6"/>
  <c r="D41" i="6" s="1"/>
  <c r="E41" i="6" s="1"/>
  <c r="C42" i="6"/>
  <c r="D42" i="6" s="1"/>
  <c r="E42" i="6" s="1"/>
  <c r="C43" i="6"/>
  <c r="D43" i="6" s="1"/>
  <c r="E43" i="6" s="1"/>
  <c r="C44" i="6"/>
  <c r="C45" i="6"/>
  <c r="D45" i="6" s="1"/>
  <c r="E45" i="6" s="1"/>
  <c r="C46" i="6"/>
  <c r="D46" i="6" s="1"/>
  <c r="E46" i="6" s="1"/>
  <c r="C47" i="6"/>
  <c r="D47" i="6" s="1"/>
  <c r="E47" i="6" s="1"/>
  <c r="C48" i="6"/>
  <c r="D48" i="6" s="1"/>
  <c r="E48" i="6" s="1"/>
  <c r="C49" i="6"/>
  <c r="D49" i="6" s="1"/>
  <c r="E49" i="6" s="1"/>
  <c r="C50" i="6"/>
  <c r="C51" i="6"/>
  <c r="C52" i="6"/>
  <c r="C53" i="6"/>
  <c r="D53" i="6" s="1"/>
  <c r="E53" i="6" s="1"/>
  <c r="C54" i="6"/>
  <c r="D54" i="6" s="1"/>
  <c r="E54" i="6" s="1"/>
  <c r="C55" i="6"/>
  <c r="D55" i="6" s="1"/>
  <c r="E55" i="6" s="1"/>
  <c r="C56" i="6"/>
  <c r="C57" i="6"/>
  <c r="D57" i="6" s="1"/>
  <c r="E57" i="6" s="1"/>
  <c r="C58" i="6"/>
  <c r="D58" i="6" s="1"/>
  <c r="E58" i="6" s="1"/>
  <c r="C59" i="6"/>
  <c r="D59" i="6" s="1"/>
  <c r="E59" i="6" s="1"/>
  <c r="C60" i="6"/>
  <c r="D60" i="6" s="1"/>
  <c r="E60" i="6" s="1"/>
  <c r="C61" i="6"/>
  <c r="D61" i="6" s="1"/>
  <c r="E61" i="6" s="1"/>
  <c r="C62" i="6"/>
  <c r="C63" i="6"/>
  <c r="C64" i="6"/>
  <c r="C65" i="6"/>
  <c r="D65" i="6" s="1"/>
  <c r="E65" i="6" s="1"/>
  <c r="C66" i="6"/>
  <c r="D66" i="6" s="1"/>
  <c r="E66" i="6" s="1"/>
  <c r="C67" i="6"/>
  <c r="D67" i="6" s="1"/>
  <c r="E67" i="6" s="1"/>
  <c r="C68" i="6"/>
  <c r="C69" i="6"/>
  <c r="D69" i="6" s="1"/>
  <c r="E69" i="6" s="1"/>
  <c r="C70" i="6"/>
  <c r="D70" i="6" s="1"/>
  <c r="E70" i="6" s="1"/>
  <c r="C71" i="6"/>
  <c r="D71" i="6" s="1"/>
  <c r="E71" i="6" s="1"/>
  <c r="C72" i="6"/>
  <c r="D72" i="6" s="1"/>
  <c r="E72" i="6" s="1"/>
  <c r="C73" i="6"/>
  <c r="D73" i="6" s="1"/>
  <c r="E73" i="6" s="1"/>
  <c r="C74" i="6"/>
  <c r="C75" i="6"/>
  <c r="C76" i="6"/>
  <c r="C77" i="6"/>
  <c r="D77" i="6" s="1"/>
  <c r="E77" i="6" s="1"/>
  <c r="C78" i="6"/>
  <c r="D78" i="6" s="1"/>
  <c r="E78" i="6" s="1"/>
  <c r="C79" i="6"/>
  <c r="D79" i="6" s="1"/>
  <c r="E79" i="6" s="1"/>
  <c r="C80" i="6"/>
  <c r="C81" i="6"/>
  <c r="D81" i="6" s="1"/>
  <c r="E81" i="6" s="1"/>
  <c r="C82" i="6"/>
  <c r="D82" i="6" s="1"/>
  <c r="E82" i="6" s="1"/>
  <c r="C83" i="6"/>
  <c r="D83" i="6" s="1"/>
  <c r="E83" i="6" s="1"/>
  <c r="C84" i="6"/>
  <c r="D84" i="6" s="1"/>
  <c r="E84" i="6" s="1"/>
  <c r="C85" i="6"/>
  <c r="D85" i="6" s="1"/>
  <c r="E85" i="6" s="1"/>
  <c r="C86" i="6"/>
  <c r="C87" i="6"/>
  <c r="C88" i="6"/>
  <c r="C89" i="6"/>
  <c r="D89" i="6" s="1"/>
  <c r="E89" i="6" s="1"/>
  <c r="C90" i="6"/>
  <c r="D90" i="6" s="1"/>
  <c r="E90" i="6" s="1"/>
  <c r="C91" i="6"/>
  <c r="D91" i="6" s="1"/>
  <c r="E91" i="6" s="1"/>
  <c r="C92" i="6"/>
  <c r="C93" i="6"/>
  <c r="D93" i="6" s="1"/>
  <c r="E93" i="6" s="1"/>
  <c r="C94" i="6"/>
  <c r="D94" i="6" s="1"/>
  <c r="E94" i="6" s="1"/>
  <c r="C95" i="6"/>
  <c r="D95" i="6" s="1"/>
  <c r="E95" i="6" s="1"/>
  <c r="C96" i="6"/>
  <c r="D96" i="6" s="1"/>
  <c r="E96" i="6" s="1"/>
  <c r="C97" i="6"/>
  <c r="D97" i="6" s="1"/>
  <c r="E97" i="6" s="1"/>
  <c r="C98" i="6"/>
  <c r="C99" i="6"/>
  <c r="C100" i="6"/>
  <c r="C101" i="6"/>
  <c r="D101" i="6" s="1"/>
  <c r="E101" i="6" s="1"/>
  <c r="C2" i="6"/>
  <c r="D2" i="6" s="1"/>
  <c r="E2" i="6" s="1"/>
  <c r="G4" i="10"/>
  <c r="G5" i="10"/>
  <c r="G6" i="10"/>
  <c r="G7" i="10"/>
  <c r="G8" i="10"/>
  <c r="G9" i="10"/>
  <c r="G10" i="10"/>
  <c r="G11" i="10"/>
  <c r="G17" i="10"/>
  <c r="G18" i="10"/>
  <c r="G19" i="10"/>
  <c r="G20" i="10"/>
  <c r="G21" i="10"/>
  <c r="G22" i="10"/>
  <c r="G23" i="10"/>
  <c r="G30" i="10"/>
  <c r="G31" i="10"/>
  <c r="G32" i="10"/>
  <c r="G33" i="10"/>
  <c r="G34" i="10"/>
  <c r="G35" i="10"/>
  <c r="G43" i="10"/>
  <c r="G44" i="10"/>
  <c r="G45" i="10"/>
  <c r="G46" i="10"/>
  <c r="G51" i="10"/>
  <c r="G55" i="10"/>
  <c r="G56" i="10"/>
  <c r="G57" i="10"/>
  <c r="G58" i="10"/>
  <c r="G59" i="10"/>
  <c r="G63" i="10"/>
  <c r="G64" i="10"/>
  <c r="G67" i="10"/>
  <c r="G68" i="10"/>
  <c r="G69" i="10"/>
  <c r="G70" i="10"/>
  <c r="G71" i="10"/>
  <c r="G72" i="10"/>
  <c r="G75" i="10"/>
  <c r="G76" i="10"/>
  <c r="G77" i="10"/>
  <c r="G79" i="10"/>
  <c r="G80" i="10"/>
  <c r="G81" i="10"/>
  <c r="G82" i="10"/>
  <c r="G83" i="10"/>
  <c r="G84" i="10"/>
  <c r="G85" i="10"/>
  <c r="G87" i="10"/>
  <c r="G88" i="10"/>
  <c r="G89" i="10"/>
  <c r="G90" i="10"/>
  <c r="G91" i="10"/>
  <c r="G92" i="10"/>
  <c r="G93" i="10"/>
  <c r="G94" i="10"/>
  <c r="G95" i="10"/>
  <c r="G96" i="10"/>
  <c r="G97" i="10"/>
  <c r="G99" i="10"/>
  <c r="G100" i="10"/>
  <c r="G101" i="10"/>
  <c r="G2" i="10"/>
  <c r="E9" i="10"/>
  <c r="E10" i="10"/>
  <c r="E11" i="10"/>
  <c r="E21" i="10"/>
  <c r="E22" i="10"/>
  <c r="E23" i="10"/>
  <c r="E33" i="10"/>
  <c r="E34" i="10"/>
  <c r="E35" i="10"/>
  <c r="E45" i="10"/>
  <c r="E46" i="10"/>
  <c r="E47" i="10"/>
  <c r="E57" i="10"/>
  <c r="E58" i="10"/>
  <c r="E59" i="10"/>
  <c r="E69" i="10"/>
  <c r="E70" i="10"/>
  <c r="E71" i="10"/>
  <c r="E81" i="10"/>
  <c r="E82" i="10"/>
  <c r="E83" i="10"/>
  <c r="E93" i="10"/>
  <c r="E94" i="10"/>
  <c r="E95" i="10"/>
  <c r="D5" i="10"/>
  <c r="E5" i="10" s="1"/>
  <c r="D6" i="10"/>
  <c r="E6" i="10" s="1"/>
  <c r="D7" i="10"/>
  <c r="E7" i="10" s="1"/>
  <c r="D8" i="10"/>
  <c r="E8" i="10" s="1"/>
  <c r="D9" i="10"/>
  <c r="D10" i="10"/>
  <c r="D11" i="10"/>
  <c r="D17" i="10"/>
  <c r="E17" i="10" s="1"/>
  <c r="D18" i="10"/>
  <c r="E18" i="10" s="1"/>
  <c r="D19" i="10"/>
  <c r="E19" i="10" s="1"/>
  <c r="D20" i="10"/>
  <c r="E20" i="10" s="1"/>
  <c r="D21" i="10"/>
  <c r="D22" i="10"/>
  <c r="D23" i="10"/>
  <c r="D29" i="10"/>
  <c r="E29" i="10" s="1"/>
  <c r="D30" i="10"/>
  <c r="E30" i="10" s="1"/>
  <c r="D31" i="10"/>
  <c r="E31" i="10" s="1"/>
  <c r="D32" i="10"/>
  <c r="E32" i="10" s="1"/>
  <c r="D33" i="10"/>
  <c r="D34" i="10"/>
  <c r="D35" i="10"/>
  <c r="D41" i="10"/>
  <c r="E41" i="10" s="1"/>
  <c r="D42" i="10"/>
  <c r="E42" i="10" s="1"/>
  <c r="D43" i="10"/>
  <c r="E43" i="10" s="1"/>
  <c r="D44" i="10"/>
  <c r="E44" i="10" s="1"/>
  <c r="D45" i="10"/>
  <c r="D46" i="10"/>
  <c r="D47" i="10"/>
  <c r="D53" i="10"/>
  <c r="E53" i="10" s="1"/>
  <c r="D54" i="10"/>
  <c r="E54" i="10" s="1"/>
  <c r="D55" i="10"/>
  <c r="E55" i="10" s="1"/>
  <c r="D56" i="10"/>
  <c r="E56" i="10" s="1"/>
  <c r="D57" i="10"/>
  <c r="D58" i="10"/>
  <c r="D59" i="10"/>
  <c r="D65" i="10"/>
  <c r="E65" i="10" s="1"/>
  <c r="D66" i="10"/>
  <c r="E66" i="10" s="1"/>
  <c r="D67" i="10"/>
  <c r="E67" i="10" s="1"/>
  <c r="D68" i="10"/>
  <c r="E68" i="10" s="1"/>
  <c r="D69" i="10"/>
  <c r="D70" i="10"/>
  <c r="D71" i="10"/>
  <c r="D77" i="10"/>
  <c r="E77" i="10" s="1"/>
  <c r="D78" i="10"/>
  <c r="E78" i="10" s="1"/>
  <c r="D79" i="10"/>
  <c r="E79" i="10" s="1"/>
  <c r="D80" i="10"/>
  <c r="E80" i="10" s="1"/>
  <c r="D81" i="10"/>
  <c r="D82" i="10"/>
  <c r="D83" i="10"/>
  <c r="D89" i="10"/>
  <c r="E89" i="10" s="1"/>
  <c r="D90" i="10"/>
  <c r="E90" i="10" s="1"/>
  <c r="D91" i="10"/>
  <c r="E91" i="10" s="1"/>
  <c r="D92" i="10"/>
  <c r="E92" i="10" s="1"/>
  <c r="D93" i="10"/>
  <c r="D94" i="10"/>
  <c r="D95" i="10"/>
  <c r="D101" i="10"/>
  <c r="E101" i="10" s="1"/>
  <c r="D2" i="10"/>
  <c r="E2" i="10" s="1"/>
  <c r="C3" i="10"/>
  <c r="D3" i="10" s="1"/>
  <c r="E3" i="10" s="1"/>
  <c r="C4" i="10"/>
  <c r="D4" i="10" s="1"/>
  <c r="E4" i="10" s="1"/>
  <c r="C5" i="10"/>
  <c r="C6" i="10"/>
  <c r="C7" i="10"/>
  <c r="C8" i="10"/>
  <c r="C9" i="10"/>
  <c r="C10" i="10"/>
  <c r="C11" i="10"/>
  <c r="C12" i="10"/>
  <c r="D12" i="10" s="1"/>
  <c r="E12" i="10" s="1"/>
  <c r="C13" i="10"/>
  <c r="D13" i="10" s="1"/>
  <c r="E13" i="10" s="1"/>
  <c r="C14" i="10"/>
  <c r="D14" i="10" s="1"/>
  <c r="E14" i="10" s="1"/>
  <c r="C15" i="10"/>
  <c r="D15" i="10" s="1"/>
  <c r="E15" i="10" s="1"/>
  <c r="C16" i="10"/>
  <c r="D16" i="10" s="1"/>
  <c r="E16" i="10" s="1"/>
  <c r="C17" i="10"/>
  <c r="C18" i="10"/>
  <c r="C19" i="10"/>
  <c r="C20" i="10"/>
  <c r="C21" i="10"/>
  <c r="C22" i="10"/>
  <c r="C23" i="10"/>
  <c r="C24" i="10"/>
  <c r="D24" i="10" s="1"/>
  <c r="E24" i="10" s="1"/>
  <c r="C25" i="10"/>
  <c r="D25" i="10" s="1"/>
  <c r="E25" i="10" s="1"/>
  <c r="C26" i="10"/>
  <c r="D26" i="10" s="1"/>
  <c r="E26" i="10" s="1"/>
  <c r="C27" i="10"/>
  <c r="D27" i="10" s="1"/>
  <c r="E27" i="10" s="1"/>
  <c r="C28" i="10"/>
  <c r="D28" i="10" s="1"/>
  <c r="E28" i="10" s="1"/>
  <c r="C29" i="10"/>
  <c r="C30" i="10"/>
  <c r="C31" i="10"/>
  <c r="C32" i="10"/>
  <c r="C33" i="10"/>
  <c r="C34" i="10"/>
  <c r="C35" i="10"/>
  <c r="C36" i="10"/>
  <c r="D36" i="10" s="1"/>
  <c r="E36" i="10" s="1"/>
  <c r="C37" i="10"/>
  <c r="D37" i="10" s="1"/>
  <c r="E37" i="10" s="1"/>
  <c r="C38" i="10"/>
  <c r="D38" i="10" s="1"/>
  <c r="E38" i="10" s="1"/>
  <c r="C39" i="10"/>
  <c r="D39" i="10" s="1"/>
  <c r="E39" i="10" s="1"/>
  <c r="C40" i="10"/>
  <c r="D40" i="10" s="1"/>
  <c r="E40" i="10" s="1"/>
  <c r="C41" i="10"/>
  <c r="C42" i="10"/>
  <c r="C43" i="10"/>
  <c r="C44" i="10"/>
  <c r="C45" i="10"/>
  <c r="C46" i="10"/>
  <c r="C47" i="10"/>
  <c r="C48" i="10"/>
  <c r="D48" i="10" s="1"/>
  <c r="E48" i="10" s="1"/>
  <c r="C49" i="10"/>
  <c r="D49" i="10" s="1"/>
  <c r="E49" i="10" s="1"/>
  <c r="C50" i="10"/>
  <c r="D50" i="10" s="1"/>
  <c r="E50" i="10" s="1"/>
  <c r="C51" i="10"/>
  <c r="D51" i="10" s="1"/>
  <c r="E51" i="10" s="1"/>
  <c r="C52" i="10"/>
  <c r="D52" i="10" s="1"/>
  <c r="E52" i="10" s="1"/>
  <c r="C53" i="10"/>
  <c r="C54" i="10"/>
  <c r="C55" i="10"/>
  <c r="C56" i="10"/>
  <c r="C57" i="10"/>
  <c r="C58" i="10"/>
  <c r="C59" i="10"/>
  <c r="C60" i="10"/>
  <c r="D60" i="10" s="1"/>
  <c r="E60" i="10" s="1"/>
  <c r="C61" i="10"/>
  <c r="D61" i="10" s="1"/>
  <c r="E61" i="10" s="1"/>
  <c r="C62" i="10"/>
  <c r="D62" i="10" s="1"/>
  <c r="E62" i="10" s="1"/>
  <c r="C63" i="10"/>
  <c r="D63" i="10" s="1"/>
  <c r="E63" i="10" s="1"/>
  <c r="C64" i="10"/>
  <c r="D64" i="10" s="1"/>
  <c r="E64" i="10" s="1"/>
  <c r="C65" i="10"/>
  <c r="C66" i="10"/>
  <c r="C67" i="10"/>
  <c r="C68" i="10"/>
  <c r="C69" i="10"/>
  <c r="C70" i="10"/>
  <c r="C71" i="10"/>
  <c r="C72" i="10"/>
  <c r="D72" i="10" s="1"/>
  <c r="E72" i="10" s="1"/>
  <c r="C73" i="10"/>
  <c r="D73" i="10" s="1"/>
  <c r="E73" i="10" s="1"/>
  <c r="C74" i="10"/>
  <c r="D74" i="10" s="1"/>
  <c r="E74" i="10" s="1"/>
  <c r="C75" i="10"/>
  <c r="D75" i="10" s="1"/>
  <c r="E75" i="10" s="1"/>
  <c r="C76" i="10"/>
  <c r="D76" i="10" s="1"/>
  <c r="E76" i="10" s="1"/>
  <c r="C77" i="10"/>
  <c r="C78" i="10"/>
  <c r="C79" i="10"/>
  <c r="C80" i="10"/>
  <c r="C81" i="10"/>
  <c r="C82" i="10"/>
  <c r="C83" i="10"/>
  <c r="C84" i="10"/>
  <c r="D84" i="10" s="1"/>
  <c r="E84" i="10" s="1"/>
  <c r="C85" i="10"/>
  <c r="D85" i="10" s="1"/>
  <c r="E85" i="10" s="1"/>
  <c r="C86" i="10"/>
  <c r="D86" i="10" s="1"/>
  <c r="E86" i="10" s="1"/>
  <c r="C87" i="10"/>
  <c r="D87" i="10" s="1"/>
  <c r="E87" i="10" s="1"/>
  <c r="C88" i="10"/>
  <c r="D88" i="10" s="1"/>
  <c r="E88" i="10" s="1"/>
  <c r="C89" i="10"/>
  <c r="C90" i="10"/>
  <c r="C91" i="10"/>
  <c r="C92" i="10"/>
  <c r="C93" i="10"/>
  <c r="C94" i="10"/>
  <c r="C95" i="10"/>
  <c r="C96" i="10"/>
  <c r="D96" i="10" s="1"/>
  <c r="E96" i="10" s="1"/>
  <c r="C97" i="10"/>
  <c r="D97" i="10" s="1"/>
  <c r="E97" i="10" s="1"/>
  <c r="C98" i="10"/>
  <c r="D98" i="10" s="1"/>
  <c r="E98" i="10" s="1"/>
  <c r="C99" i="10"/>
  <c r="D99" i="10" s="1"/>
  <c r="E99" i="10" s="1"/>
  <c r="C100" i="10"/>
  <c r="D100" i="10" s="1"/>
  <c r="E100" i="10" s="1"/>
  <c r="C101" i="10"/>
  <c r="C2" i="10"/>
  <c r="H3" i="5"/>
  <c r="H4" i="5"/>
  <c r="H5" i="5"/>
  <c r="H6" i="5"/>
  <c r="I6" i="5" s="1"/>
  <c r="H7" i="5"/>
  <c r="H8" i="5"/>
  <c r="H9" i="5"/>
  <c r="H10" i="5"/>
  <c r="I10" i="5" s="1"/>
  <c r="H11" i="5"/>
  <c r="I11" i="5" s="1"/>
  <c r="H12" i="5"/>
  <c r="I12" i="5" s="1"/>
  <c r="H13" i="5"/>
  <c r="I13" i="5" s="1"/>
  <c r="H14" i="5"/>
  <c r="I14" i="5" s="1"/>
  <c r="H15" i="5"/>
  <c r="H16" i="5"/>
  <c r="H17" i="5"/>
  <c r="H18" i="5"/>
  <c r="H19" i="5"/>
  <c r="I19" i="5" s="1"/>
  <c r="H20" i="5"/>
  <c r="H21" i="5"/>
  <c r="H22" i="5"/>
  <c r="H23" i="5"/>
  <c r="I23" i="5" s="1"/>
  <c r="H24" i="5"/>
  <c r="I24" i="5" s="1"/>
  <c r="H25" i="5"/>
  <c r="I25" i="5" s="1"/>
  <c r="H26" i="5"/>
  <c r="I26" i="5" s="1"/>
  <c r="H27" i="5"/>
  <c r="H28" i="5"/>
  <c r="H29" i="5"/>
  <c r="H30" i="5"/>
  <c r="H31" i="5"/>
  <c r="I31" i="5" s="1"/>
  <c r="H32" i="5"/>
  <c r="H33" i="5"/>
  <c r="H34" i="5"/>
  <c r="I34" i="5" s="1"/>
  <c r="H35" i="5"/>
  <c r="I35" i="5" s="1"/>
  <c r="H36" i="5"/>
  <c r="H37" i="5"/>
  <c r="I37" i="5" s="1"/>
  <c r="H38" i="5"/>
  <c r="I38" i="5" s="1"/>
  <c r="H39" i="5"/>
  <c r="H40" i="5"/>
  <c r="H41" i="5"/>
  <c r="H42" i="5"/>
  <c r="I42" i="5" s="1"/>
  <c r="H43" i="5"/>
  <c r="H44" i="5"/>
  <c r="H45" i="5"/>
  <c r="H46" i="5"/>
  <c r="I46" i="5" s="1"/>
  <c r="H47" i="5"/>
  <c r="I47" i="5" s="1"/>
  <c r="H48" i="5"/>
  <c r="I48" i="5" s="1"/>
  <c r="H49" i="5"/>
  <c r="I49" i="5" s="1"/>
  <c r="H50" i="5"/>
  <c r="I50" i="5" s="1"/>
  <c r="H51" i="5"/>
  <c r="H52" i="5"/>
  <c r="H53" i="5"/>
  <c r="H54" i="5"/>
  <c r="H55" i="5"/>
  <c r="I55" i="5" s="1"/>
  <c r="H56" i="5"/>
  <c r="H57" i="5"/>
  <c r="H58" i="5"/>
  <c r="H59" i="5"/>
  <c r="H60" i="5"/>
  <c r="I60" i="5" s="1"/>
  <c r="H61" i="5"/>
  <c r="I61" i="5" s="1"/>
  <c r="H62" i="5"/>
  <c r="I62" i="5" s="1"/>
  <c r="H63" i="5"/>
  <c r="H64" i="5"/>
  <c r="H65" i="5"/>
  <c r="H66" i="5"/>
  <c r="H67" i="5"/>
  <c r="I67" i="5" s="1"/>
  <c r="H68" i="5"/>
  <c r="H69" i="5"/>
  <c r="H70" i="5"/>
  <c r="I70" i="5" s="1"/>
  <c r="H71" i="5"/>
  <c r="I71" i="5" s="1"/>
  <c r="H72" i="5"/>
  <c r="H73" i="5"/>
  <c r="I73" i="5" s="1"/>
  <c r="H74" i="5"/>
  <c r="I74" i="5" s="1"/>
  <c r="H75" i="5"/>
  <c r="H76" i="5"/>
  <c r="H77" i="5"/>
  <c r="H78" i="5"/>
  <c r="I78" i="5" s="1"/>
  <c r="H79" i="5"/>
  <c r="H80" i="5"/>
  <c r="H81" i="5"/>
  <c r="H82" i="5"/>
  <c r="I82" i="5" s="1"/>
  <c r="H83" i="5"/>
  <c r="I83" i="5" s="1"/>
  <c r="H84" i="5"/>
  <c r="I84" i="5" s="1"/>
  <c r="H85" i="5"/>
  <c r="I85" i="5" s="1"/>
  <c r="H86" i="5"/>
  <c r="I86" i="5" s="1"/>
  <c r="H87" i="5"/>
  <c r="H88" i="5"/>
  <c r="H89" i="5"/>
  <c r="H90" i="5"/>
  <c r="H91" i="5"/>
  <c r="I91" i="5" s="1"/>
  <c r="H92" i="5"/>
  <c r="H93" i="5"/>
  <c r="H94" i="5"/>
  <c r="H95" i="5"/>
  <c r="H96" i="5"/>
  <c r="I96" i="5" s="1"/>
  <c r="H97" i="5"/>
  <c r="I97" i="5" s="1"/>
  <c r="H98" i="5"/>
  <c r="I98" i="5" s="1"/>
  <c r="H99" i="5"/>
  <c r="H100" i="5"/>
  <c r="H101" i="5"/>
  <c r="H102" i="5"/>
  <c r="H103" i="5"/>
  <c r="I103" i="5" s="1"/>
  <c r="H104" i="5"/>
  <c r="H105" i="5"/>
  <c r="H106" i="5"/>
  <c r="I106" i="5" s="1"/>
  <c r="H107" i="5"/>
  <c r="I107" i="5" s="1"/>
  <c r="H108" i="5"/>
  <c r="H109" i="5"/>
  <c r="I109" i="5" s="1"/>
  <c r="H110" i="5"/>
  <c r="I110" i="5" s="1"/>
  <c r="H111" i="5"/>
  <c r="H112" i="5"/>
  <c r="H113" i="5"/>
  <c r="H114" i="5"/>
  <c r="I114" i="5" s="1"/>
  <c r="H115" i="5"/>
  <c r="H116" i="5"/>
  <c r="H117" i="5"/>
  <c r="H118" i="5"/>
  <c r="I118" i="5" s="1"/>
  <c r="H119" i="5"/>
  <c r="I119" i="5" s="1"/>
  <c r="H120" i="5"/>
  <c r="I120" i="5" s="1"/>
  <c r="H121" i="5"/>
  <c r="I121" i="5" s="1"/>
  <c r="H122" i="5"/>
  <c r="I122" i="5" s="1"/>
  <c r="H123" i="5"/>
  <c r="H124" i="5"/>
  <c r="H125" i="5"/>
  <c r="H126" i="5"/>
  <c r="H127" i="5"/>
  <c r="I127" i="5" s="1"/>
  <c r="H128" i="5"/>
  <c r="H129" i="5"/>
  <c r="H130" i="5"/>
  <c r="H131" i="5"/>
  <c r="H132" i="5"/>
  <c r="I132" i="5" s="1"/>
  <c r="H133" i="5"/>
  <c r="I133" i="5" s="1"/>
  <c r="H134" i="5"/>
  <c r="I134" i="5" s="1"/>
  <c r="H135" i="5"/>
  <c r="H136" i="5"/>
  <c r="H137" i="5"/>
  <c r="H138" i="5"/>
  <c r="H139" i="5"/>
  <c r="I139" i="5" s="1"/>
  <c r="H140" i="5"/>
  <c r="H141" i="5"/>
  <c r="I141" i="5" s="1"/>
  <c r="H142" i="5"/>
  <c r="I142" i="5" s="1"/>
  <c r="H143" i="5"/>
  <c r="I143" i="5" s="1"/>
  <c r="H144" i="5"/>
  <c r="H145" i="5"/>
  <c r="I145" i="5" s="1"/>
  <c r="H146" i="5"/>
  <c r="I146" i="5" s="1"/>
  <c r="H147" i="5"/>
  <c r="H148" i="5"/>
  <c r="H149" i="5"/>
  <c r="H150" i="5"/>
  <c r="I150" i="5" s="1"/>
  <c r="H151" i="5"/>
  <c r="H152" i="5"/>
  <c r="H153" i="5"/>
  <c r="H154" i="5"/>
  <c r="I154" i="5" s="1"/>
  <c r="H155" i="5"/>
  <c r="I155" i="5" s="1"/>
  <c r="H156" i="5"/>
  <c r="I156" i="5" s="1"/>
  <c r="H157" i="5"/>
  <c r="I157" i="5" s="1"/>
  <c r="H158" i="5"/>
  <c r="I158" i="5" s="1"/>
  <c r="H159" i="5"/>
  <c r="H160" i="5"/>
  <c r="H161" i="5"/>
  <c r="H162" i="5"/>
  <c r="H163" i="5"/>
  <c r="I163" i="5" s="1"/>
  <c r="H164" i="5"/>
  <c r="H165" i="5"/>
  <c r="H166" i="5"/>
  <c r="H167" i="5"/>
  <c r="H168" i="5"/>
  <c r="I168" i="5" s="1"/>
  <c r="H169" i="5"/>
  <c r="I169" i="5" s="1"/>
  <c r="H170" i="5"/>
  <c r="I170" i="5" s="1"/>
  <c r="H171" i="5"/>
  <c r="H172" i="5"/>
  <c r="H173" i="5"/>
  <c r="H174" i="5"/>
  <c r="H175" i="5"/>
  <c r="I175" i="5" s="1"/>
  <c r="H176" i="5"/>
  <c r="H177" i="5"/>
  <c r="I177" i="5" s="1"/>
  <c r="H178" i="5"/>
  <c r="I178" i="5" s="1"/>
  <c r="H179" i="5"/>
  <c r="I179" i="5" s="1"/>
  <c r="H180" i="5"/>
  <c r="H181" i="5"/>
  <c r="I181" i="5" s="1"/>
  <c r="H182" i="5"/>
  <c r="I182" i="5" s="1"/>
  <c r="H183" i="5"/>
  <c r="H184" i="5"/>
  <c r="H185" i="5"/>
  <c r="H186" i="5"/>
  <c r="I186" i="5" s="1"/>
  <c r="H187" i="5"/>
  <c r="H188" i="5"/>
  <c r="H189" i="5"/>
  <c r="H190" i="5"/>
  <c r="I190" i="5" s="1"/>
  <c r="H191" i="5"/>
  <c r="I191" i="5" s="1"/>
  <c r="H192" i="5"/>
  <c r="I192" i="5" s="1"/>
  <c r="H193" i="5"/>
  <c r="I193" i="5" s="1"/>
  <c r="H194" i="5"/>
  <c r="I194" i="5" s="1"/>
  <c r="H195" i="5"/>
  <c r="H196" i="5"/>
  <c r="H197" i="5"/>
  <c r="H198" i="5"/>
  <c r="H199" i="5"/>
  <c r="I199" i="5" s="1"/>
  <c r="H200" i="5"/>
  <c r="H201" i="5"/>
  <c r="H202" i="5"/>
  <c r="H203" i="5"/>
  <c r="H204" i="5"/>
  <c r="I204" i="5" s="1"/>
  <c r="H205" i="5"/>
  <c r="I205" i="5" s="1"/>
  <c r="H206" i="5"/>
  <c r="I206" i="5" s="1"/>
  <c r="H207" i="5"/>
  <c r="H208" i="5"/>
  <c r="H209" i="5"/>
  <c r="H210" i="5"/>
  <c r="H211" i="5"/>
  <c r="I211" i="5" s="1"/>
  <c r="H212" i="5"/>
  <c r="H213" i="5"/>
  <c r="I213" i="5" s="1"/>
  <c r="H214" i="5"/>
  <c r="I214" i="5" s="1"/>
  <c r="H215" i="5"/>
  <c r="I215" i="5" s="1"/>
  <c r="H216" i="5"/>
  <c r="H217" i="5"/>
  <c r="I217" i="5" s="1"/>
  <c r="H218" i="5"/>
  <c r="I218" i="5" s="1"/>
  <c r="H219" i="5"/>
  <c r="H220" i="5"/>
  <c r="H221" i="5"/>
  <c r="H222" i="5"/>
  <c r="I222" i="5" s="1"/>
  <c r="H223" i="5"/>
  <c r="H224" i="5"/>
  <c r="H225" i="5"/>
  <c r="H226" i="5"/>
  <c r="I226" i="5" s="1"/>
  <c r="H227" i="5"/>
  <c r="I227" i="5" s="1"/>
  <c r="H228" i="5"/>
  <c r="I228" i="5" s="1"/>
  <c r="H229" i="5"/>
  <c r="I229" i="5" s="1"/>
  <c r="H230" i="5"/>
  <c r="I230" i="5" s="1"/>
  <c r="H231" i="5"/>
  <c r="H232" i="5"/>
  <c r="H233" i="5"/>
  <c r="H234" i="5"/>
  <c r="H235" i="5"/>
  <c r="I235" i="5" s="1"/>
  <c r="H236" i="5"/>
  <c r="H237" i="5"/>
  <c r="H238" i="5"/>
  <c r="H239" i="5"/>
  <c r="H240" i="5"/>
  <c r="I240" i="5" s="1"/>
  <c r="H241" i="5"/>
  <c r="I241" i="5" s="1"/>
  <c r="H242" i="5"/>
  <c r="I242" i="5" s="1"/>
  <c r="H243" i="5"/>
  <c r="H244" i="5"/>
  <c r="H245" i="5"/>
  <c r="H246" i="5"/>
  <c r="H247" i="5"/>
  <c r="I247" i="5" s="1"/>
  <c r="H248" i="5"/>
  <c r="H249" i="5"/>
  <c r="I249" i="5" s="1"/>
  <c r="H250" i="5"/>
  <c r="I250" i="5" s="1"/>
  <c r="H251" i="5"/>
  <c r="I251" i="5" s="1"/>
  <c r="H252" i="5"/>
  <c r="H253" i="5"/>
  <c r="I253" i="5" s="1"/>
  <c r="H254" i="5"/>
  <c r="I254" i="5" s="1"/>
  <c r="H255" i="5"/>
  <c r="H256" i="5"/>
  <c r="H257" i="5"/>
  <c r="H258" i="5"/>
  <c r="I258" i="5" s="1"/>
  <c r="H259" i="5"/>
  <c r="H260" i="5"/>
  <c r="H261" i="5"/>
  <c r="H262" i="5"/>
  <c r="I262" i="5" s="1"/>
  <c r="H263" i="5"/>
  <c r="I263" i="5" s="1"/>
  <c r="H264" i="5"/>
  <c r="I264" i="5" s="1"/>
  <c r="H265" i="5"/>
  <c r="I265" i="5" s="1"/>
  <c r="H266" i="5"/>
  <c r="I266" i="5" s="1"/>
  <c r="H267" i="5"/>
  <c r="H268" i="5"/>
  <c r="H269" i="5"/>
  <c r="H270" i="5"/>
  <c r="H271" i="5"/>
  <c r="I271" i="5" s="1"/>
  <c r="H272" i="5"/>
  <c r="H273" i="5"/>
  <c r="H274" i="5"/>
  <c r="H275" i="5"/>
  <c r="H276" i="5"/>
  <c r="I276" i="5" s="1"/>
  <c r="H277" i="5"/>
  <c r="I277" i="5" s="1"/>
  <c r="H278" i="5"/>
  <c r="I278" i="5" s="1"/>
  <c r="H279" i="5"/>
  <c r="H280" i="5"/>
  <c r="H281" i="5"/>
  <c r="H282" i="5"/>
  <c r="H283" i="5"/>
  <c r="I283" i="5" s="1"/>
  <c r="H284" i="5"/>
  <c r="H285" i="5"/>
  <c r="I285" i="5" s="1"/>
  <c r="H286" i="5"/>
  <c r="I286" i="5" s="1"/>
  <c r="H287" i="5"/>
  <c r="I287" i="5" s="1"/>
  <c r="H288" i="5"/>
  <c r="H289" i="5"/>
  <c r="I289" i="5" s="1"/>
  <c r="H290" i="5"/>
  <c r="I290" i="5" s="1"/>
  <c r="H291" i="5"/>
  <c r="H292" i="5"/>
  <c r="H293" i="5"/>
  <c r="H294" i="5"/>
  <c r="I294" i="5" s="1"/>
  <c r="H295" i="5"/>
  <c r="H296" i="5"/>
  <c r="H297" i="5"/>
  <c r="H298" i="5"/>
  <c r="I298" i="5" s="1"/>
  <c r="H299" i="5"/>
  <c r="I299" i="5" s="1"/>
  <c r="H300" i="5"/>
  <c r="I300" i="5" s="1"/>
  <c r="H301" i="5"/>
  <c r="I301" i="5" s="1"/>
  <c r="H302" i="5"/>
  <c r="I302" i="5" s="1"/>
  <c r="H303" i="5"/>
  <c r="H304" i="5"/>
  <c r="H305" i="5"/>
  <c r="H306" i="5"/>
  <c r="I306" i="5" s="1"/>
  <c r="H307" i="5"/>
  <c r="H308" i="5"/>
  <c r="H309" i="5"/>
  <c r="I309" i="5" s="1"/>
  <c r="H310" i="5"/>
  <c r="I310" i="5" s="1"/>
  <c r="H311" i="5"/>
  <c r="H312" i="5"/>
  <c r="H313" i="5"/>
  <c r="I313" i="5" s="1"/>
  <c r="H314" i="5"/>
  <c r="I314" i="5" s="1"/>
  <c r="H315" i="5"/>
  <c r="H316" i="5"/>
  <c r="H317" i="5"/>
  <c r="H318" i="5"/>
  <c r="I318" i="5" s="1"/>
  <c r="H319" i="5"/>
  <c r="H320" i="5"/>
  <c r="H321" i="5"/>
  <c r="H322" i="5"/>
  <c r="I322" i="5" s="1"/>
  <c r="H323" i="5"/>
  <c r="I323" i="5" s="1"/>
  <c r="H324" i="5"/>
  <c r="I324" i="5" s="1"/>
  <c r="H325" i="5"/>
  <c r="I325" i="5" s="1"/>
  <c r="H326" i="5"/>
  <c r="I326" i="5" s="1"/>
  <c r="H327" i="5"/>
  <c r="H328" i="5"/>
  <c r="H329" i="5"/>
  <c r="H330" i="5"/>
  <c r="H331" i="5"/>
  <c r="I331" i="5" s="1"/>
  <c r="H332" i="5"/>
  <c r="H333" i="5"/>
  <c r="I333" i="5" s="1"/>
  <c r="H334" i="5"/>
  <c r="I334" i="5" s="1"/>
  <c r="H335" i="5"/>
  <c r="I335" i="5" s="1"/>
  <c r="H336" i="5"/>
  <c r="H337" i="5"/>
  <c r="I337" i="5" s="1"/>
  <c r="H338" i="5"/>
  <c r="I338" i="5" s="1"/>
  <c r="H339" i="5"/>
  <c r="H340" i="5"/>
  <c r="H341" i="5"/>
  <c r="H342" i="5"/>
  <c r="I342" i="5" s="1"/>
  <c r="H343" i="5"/>
  <c r="H344" i="5"/>
  <c r="H345" i="5"/>
  <c r="H346" i="5"/>
  <c r="I346" i="5" s="1"/>
  <c r="H347" i="5"/>
  <c r="I347" i="5" s="1"/>
  <c r="H348" i="5"/>
  <c r="I348" i="5" s="1"/>
  <c r="H349" i="5"/>
  <c r="I349" i="5" s="1"/>
  <c r="H350" i="5"/>
  <c r="I350" i="5" s="1"/>
  <c r="H351" i="5"/>
  <c r="H352" i="5"/>
  <c r="H353" i="5"/>
  <c r="H354" i="5"/>
  <c r="I354" i="5" s="1"/>
  <c r="H355" i="5"/>
  <c r="H356" i="5"/>
  <c r="H357" i="5"/>
  <c r="I357" i="5" s="1"/>
  <c r="H358" i="5"/>
  <c r="H359" i="5"/>
  <c r="H360" i="5"/>
  <c r="I360" i="5" s="1"/>
  <c r="H361" i="5"/>
  <c r="I361" i="5" s="1"/>
  <c r="H362" i="5"/>
  <c r="I362" i="5" s="1"/>
  <c r="H363" i="5"/>
  <c r="H364" i="5"/>
  <c r="H365" i="5"/>
  <c r="H366" i="5"/>
  <c r="H367" i="5"/>
  <c r="H368" i="5"/>
  <c r="H369" i="5"/>
  <c r="I369" i="5" s="1"/>
  <c r="H370" i="5"/>
  <c r="I370" i="5" s="1"/>
  <c r="H371" i="5"/>
  <c r="I371" i="5" s="1"/>
  <c r="H372" i="5"/>
  <c r="I372" i="5" s="1"/>
  <c r="H373" i="5"/>
  <c r="I373" i="5" s="1"/>
  <c r="H374" i="5"/>
  <c r="H375" i="5"/>
  <c r="H376" i="5"/>
  <c r="H377" i="5"/>
  <c r="H378" i="5"/>
  <c r="H379" i="5"/>
  <c r="I379" i="5" s="1"/>
  <c r="H380" i="5"/>
  <c r="H381" i="5"/>
  <c r="H382" i="5"/>
  <c r="H383" i="5"/>
  <c r="I383" i="5" s="1"/>
  <c r="H384" i="5"/>
  <c r="I384" i="5" s="1"/>
  <c r="H385" i="5"/>
  <c r="I385" i="5" s="1"/>
  <c r="H386" i="5"/>
  <c r="I386" i="5" s="1"/>
  <c r="H387" i="5"/>
  <c r="H388" i="5"/>
  <c r="H389" i="5"/>
  <c r="H390" i="5"/>
  <c r="H391" i="5"/>
  <c r="H392" i="5"/>
  <c r="H393" i="5"/>
  <c r="H394" i="5"/>
  <c r="I394" i="5" s="1"/>
  <c r="H395" i="5"/>
  <c r="I395" i="5" s="1"/>
  <c r="H396" i="5"/>
  <c r="H397" i="5"/>
  <c r="H398" i="5"/>
  <c r="I398" i="5" s="1"/>
  <c r="H399" i="5"/>
  <c r="H400" i="5"/>
  <c r="H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G300" i="5" s="1"/>
  <c r="F301" i="5"/>
  <c r="F302" i="5"/>
  <c r="F303" i="5"/>
  <c r="F304" i="5"/>
  <c r="F305" i="5"/>
  <c r="F306" i="5"/>
  <c r="F307" i="5"/>
  <c r="F308" i="5"/>
  <c r="F309" i="5"/>
  <c r="F310" i="5"/>
  <c r="F311" i="5"/>
  <c r="F312" i="5"/>
  <c r="F313" i="5"/>
  <c r="F314" i="5"/>
  <c r="F315" i="5"/>
  <c r="F316" i="5"/>
  <c r="F317" i="5"/>
  <c r="F318" i="5"/>
  <c r="F319" i="5"/>
  <c r="F320" i="5"/>
  <c r="F321" i="5"/>
  <c r="F322" i="5"/>
  <c r="F323" i="5"/>
  <c r="F324" i="5"/>
  <c r="G324" i="5" s="1"/>
  <c r="F325" i="5"/>
  <c r="F326" i="5"/>
  <c r="F327" i="5"/>
  <c r="F328" i="5"/>
  <c r="F329" i="5"/>
  <c r="F330" i="5"/>
  <c r="F331" i="5"/>
  <c r="F332" i="5"/>
  <c r="F333" i="5"/>
  <c r="F334" i="5"/>
  <c r="F335" i="5"/>
  <c r="F336" i="5"/>
  <c r="F337" i="5"/>
  <c r="F338" i="5"/>
  <c r="F339" i="5"/>
  <c r="F340" i="5"/>
  <c r="F341" i="5"/>
  <c r="F342" i="5"/>
  <c r="F343" i="5"/>
  <c r="F344" i="5"/>
  <c r="F345" i="5"/>
  <c r="F346" i="5"/>
  <c r="F347" i="5"/>
  <c r="F348" i="5"/>
  <c r="G348" i="5" s="1"/>
  <c r="F349" i="5"/>
  <c r="F350" i="5"/>
  <c r="F351" i="5"/>
  <c r="F352" i="5"/>
  <c r="F353" i="5"/>
  <c r="F354" i="5"/>
  <c r="F355" i="5"/>
  <c r="F356" i="5"/>
  <c r="F357" i="5"/>
  <c r="F358" i="5"/>
  <c r="F359" i="5"/>
  <c r="F360" i="5"/>
  <c r="G360" i="5" s="1"/>
  <c r="F361" i="5"/>
  <c r="F362" i="5"/>
  <c r="F363" i="5"/>
  <c r="F364" i="5"/>
  <c r="F365" i="5"/>
  <c r="F366" i="5"/>
  <c r="F367" i="5"/>
  <c r="F368" i="5"/>
  <c r="F369" i="5"/>
  <c r="F370" i="5"/>
  <c r="F371" i="5"/>
  <c r="F372" i="5"/>
  <c r="G372" i="5" s="1"/>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2" i="5"/>
  <c r="E3" i="5"/>
  <c r="E4" i="5"/>
  <c r="E5" i="5"/>
  <c r="E6" i="5"/>
  <c r="E7" i="5"/>
  <c r="E8" i="5"/>
  <c r="E9" i="5"/>
  <c r="E10" i="5"/>
  <c r="G10" i="5" s="1"/>
  <c r="E11" i="5"/>
  <c r="G11" i="5" s="1"/>
  <c r="E12" i="5"/>
  <c r="E13" i="5"/>
  <c r="E14" i="5"/>
  <c r="E15" i="5"/>
  <c r="E16" i="5"/>
  <c r="E17" i="5"/>
  <c r="E18" i="5"/>
  <c r="E19" i="5"/>
  <c r="E20" i="5"/>
  <c r="E21" i="5"/>
  <c r="E22" i="5"/>
  <c r="G22" i="5" s="1"/>
  <c r="E23" i="5"/>
  <c r="G23" i="5" s="1"/>
  <c r="E24" i="5"/>
  <c r="E25" i="5"/>
  <c r="E26" i="5"/>
  <c r="E27" i="5"/>
  <c r="E28" i="5"/>
  <c r="E29" i="5"/>
  <c r="E30" i="5"/>
  <c r="E31" i="5"/>
  <c r="E32" i="5"/>
  <c r="E33" i="5"/>
  <c r="E34" i="5"/>
  <c r="G34" i="5" s="1"/>
  <c r="E35" i="5"/>
  <c r="G35" i="5" s="1"/>
  <c r="E36" i="5"/>
  <c r="E37" i="5"/>
  <c r="E38" i="5"/>
  <c r="E39" i="5"/>
  <c r="E40" i="5"/>
  <c r="E41" i="5"/>
  <c r="E42" i="5"/>
  <c r="E43" i="5"/>
  <c r="E44" i="5"/>
  <c r="E45" i="5"/>
  <c r="E46" i="5"/>
  <c r="G46" i="5" s="1"/>
  <c r="E47" i="5"/>
  <c r="G47" i="5" s="1"/>
  <c r="E48" i="5"/>
  <c r="E49" i="5"/>
  <c r="E50" i="5"/>
  <c r="E51" i="5"/>
  <c r="E52" i="5"/>
  <c r="E53" i="5"/>
  <c r="E54" i="5"/>
  <c r="E55" i="5"/>
  <c r="E56" i="5"/>
  <c r="E57" i="5"/>
  <c r="E58" i="5"/>
  <c r="G58" i="5" s="1"/>
  <c r="E59" i="5"/>
  <c r="G59" i="5" s="1"/>
  <c r="E60" i="5"/>
  <c r="E61" i="5"/>
  <c r="E62" i="5"/>
  <c r="E63" i="5"/>
  <c r="E64" i="5"/>
  <c r="E65" i="5"/>
  <c r="E66" i="5"/>
  <c r="E67" i="5"/>
  <c r="E68" i="5"/>
  <c r="E69" i="5"/>
  <c r="E70" i="5"/>
  <c r="G70" i="5" s="1"/>
  <c r="E71" i="5"/>
  <c r="G71" i="5" s="1"/>
  <c r="E72" i="5"/>
  <c r="E73" i="5"/>
  <c r="E74" i="5"/>
  <c r="E75" i="5"/>
  <c r="E76" i="5"/>
  <c r="E77" i="5"/>
  <c r="E78" i="5"/>
  <c r="E79" i="5"/>
  <c r="E80" i="5"/>
  <c r="E81" i="5"/>
  <c r="E82" i="5"/>
  <c r="G82" i="5" s="1"/>
  <c r="E83" i="5"/>
  <c r="G83" i="5" s="1"/>
  <c r="E84" i="5"/>
  <c r="E85" i="5"/>
  <c r="E86" i="5"/>
  <c r="E87" i="5"/>
  <c r="E88" i="5"/>
  <c r="E89" i="5"/>
  <c r="E90" i="5"/>
  <c r="E91" i="5"/>
  <c r="E92" i="5"/>
  <c r="E93" i="5"/>
  <c r="E94" i="5"/>
  <c r="G94" i="5" s="1"/>
  <c r="E95" i="5"/>
  <c r="G95" i="5" s="1"/>
  <c r="E96" i="5"/>
  <c r="E97" i="5"/>
  <c r="E98" i="5"/>
  <c r="E99" i="5"/>
  <c r="E100" i="5"/>
  <c r="E101" i="5"/>
  <c r="E102" i="5"/>
  <c r="E103" i="5"/>
  <c r="E104" i="5"/>
  <c r="E105" i="5"/>
  <c r="E106" i="5"/>
  <c r="G106" i="5" s="1"/>
  <c r="E107" i="5"/>
  <c r="G107" i="5" s="1"/>
  <c r="E108" i="5"/>
  <c r="E109" i="5"/>
  <c r="E110" i="5"/>
  <c r="E111" i="5"/>
  <c r="E112" i="5"/>
  <c r="E113" i="5"/>
  <c r="E114" i="5"/>
  <c r="E115" i="5"/>
  <c r="E116" i="5"/>
  <c r="E117" i="5"/>
  <c r="E118" i="5"/>
  <c r="G118" i="5" s="1"/>
  <c r="E119" i="5"/>
  <c r="G119" i="5" s="1"/>
  <c r="E120" i="5"/>
  <c r="E121" i="5"/>
  <c r="E122" i="5"/>
  <c r="E123" i="5"/>
  <c r="E124" i="5"/>
  <c r="E125" i="5"/>
  <c r="E126" i="5"/>
  <c r="E127" i="5"/>
  <c r="E128" i="5"/>
  <c r="E129" i="5"/>
  <c r="E130" i="5"/>
  <c r="G130" i="5" s="1"/>
  <c r="E131" i="5"/>
  <c r="G131" i="5" s="1"/>
  <c r="E132" i="5"/>
  <c r="E133" i="5"/>
  <c r="E134" i="5"/>
  <c r="E135" i="5"/>
  <c r="E136" i="5"/>
  <c r="E137" i="5"/>
  <c r="E138" i="5"/>
  <c r="E139" i="5"/>
  <c r="E140" i="5"/>
  <c r="E141" i="5"/>
  <c r="E142" i="5"/>
  <c r="G142" i="5" s="1"/>
  <c r="E143" i="5"/>
  <c r="G143" i="5" s="1"/>
  <c r="E144" i="5"/>
  <c r="E145" i="5"/>
  <c r="E146" i="5"/>
  <c r="E147" i="5"/>
  <c r="E148" i="5"/>
  <c r="E149" i="5"/>
  <c r="E150" i="5"/>
  <c r="E151" i="5"/>
  <c r="E152" i="5"/>
  <c r="E153" i="5"/>
  <c r="E154" i="5"/>
  <c r="G154" i="5" s="1"/>
  <c r="E155" i="5"/>
  <c r="G155" i="5" s="1"/>
  <c r="E156" i="5"/>
  <c r="E157" i="5"/>
  <c r="E158" i="5"/>
  <c r="E159" i="5"/>
  <c r="E160" i="5"/>
  <c r="E161" i="5"/>
  <c r="E162" i="5"/>
  <c r="E163" i="5"/>
  <c r="E164" i="5"/>
  <c r="E165" i="5"/>
  <c r="E166" i="5"/>
  <c r="G166" i="5" s="1"/>
  <c r="E167" i="5"/>
  <c r="G167" i="5" s="1"/>
  <c r="E168" i="5"/>
  <c r="E169" i="5"/>
  <c r="E170" i="5"/>
  <c r="E171" i="5"/>
  <c r="E172" i="5"/>
  <c r="E173" i="5"/>
  <c r="E174" i="5"/>
  <c r="E175" i="5"/>
  <c r="E176" i="5"/>
  <c r="E177" i="5"/>
  <c r="E178" i="5"/>
  <c r="G178" i="5" s="1"/>
  <c r="E179" i="5"/>
  <c r="G179" i="5" s="1"/>
  <c r="E180" i="5"/>
  <c r="E181" i="5"/>
  <c r="E182" i="5"/>
  <c r="E183" i="5"/>
  <c r="E184" i="5"/>
  <c r="E185" i="5"/>
  <c r="E186" i="5"/>
  <c r="E187" i="5"/>
  <c r="E188" i="5"/>
  <c r="E189" i="5"/>
  <c r="E190" i="5"/>
  <c r="G190" i="5" s="1"/>
  <c r="E191" i="5"/>
  <c r="G191" i="5" s="1"/>
  <c r="E192" i="5"/>
  <c r="E193" i="5"/>
  <c r="E194" i="5"/>
  <c r="E195" i="5"/>
  <c r="E196" i="5"/>
  <c r="E197" i="5"/>
  <c r="E198" i="5"/>
  <c r="E199" i="5"/>
  <c r="E200" i="5"/>
  <c r="E201" i="5"/>
  <c r="E202" i="5"/>
  <c r="G202" i="5" s="1"/>
  <c r="E203" i="5"/>
  <c r="G203" i="5" s="1"/>
  <c r="E204" i="5"/>
  <c r="E205" i="5"/>
  <c r="E206" i="5"/>
  <c r="E207" i="5"/>
  <c r="E208" i="5"/>
  <c r="E209" i="5"/>
  <c r="E210" i="5"/>
  <c r="E211" i="5"/>
  <c r="E212" i="5"/>
  <c r="E213" i="5"/>
  <c r="E214" i="5"/>
  <c r="G214" i="5" s="1"/>
  <c r="E215" i="5"/>
  <c r="G215" i="5" s="1"/>
  <c r="E216" i="5"/>
  <c r="E217" i="5"/>
  <c r="E218" i="5"/>
  <c r="E219" i="5"/>
  <c r="E220" i="5"/>
  <c r="E221" i="5"/>
  <c r="E222" i="5"/>
  <c r="E223" i="5"/>
  <c r="E224" i="5"/>
  <c r="E225" i="5"/>
  <c r="E226" i="5"/>
  <c r="G226" i="5" s="1"/>
  <c r="E227" i="5"/>
  <c r="G227" i="5" s="1"/>
  <c r="E228" i="5"/>
  <c r="E229" i="5"/>
  <c r="E230" i="5"/>
  <c r="E231" i="5"/>
  <c r="E232" i="5"/>
  <c r="E233" i="5"/>
  <c r="E234" i="5"/>
  <c r="E235" i="5"/>
  <c r="E236" i="5"/>
  <c r="E237" i="5"/>
  <c r="E238" i="5"/>
  <c r="G238" i="5" s="1"/>
  <c r="E239" i="5"/>
  <c r="G239" i="5" s="1"/>
  <c r="E240" i="5"/>
  <c r="E241" i="5"/>
  <c r="E242" i="5"/>
  <c r="E243" i="5"/>
  <c r="E244" i="5"/>
  <c r="E245" i="5"/>
  <c r="E246" i="5"/>
  <c r="E247" i="5"/>
  <c r="E248" i="5"/>
  <c r="E249" i="5"/>
  <c r="E250" i="5"/>
  <c r="G250" i="5" s="1"/>
  <c r="E251" i="5"/>
  <c r="G251" i="5" s="1"/>
  <c r="E252" i="5"/>
  <c r="E253" i="5"/>
  <c r="E254" i="5"/>
  <c r="E255" i="5"/>
  <c r="E256" i="5"/>
  <c r="E257" i="5"/>
  <c r="E258" i="5"/>
  <c r="E259" i="5"/>
  <c r="E260" i="5"/>
  <c r="E261" i="5"/>
  <c r="E262" i="5"/>
  <c r="G262" i="5" s="1"/>
  <c r="E263" i="5"/>
  <c r="G263" i="5" s="1"/>
  <c r="E264" i="5"/>
  <c r="E265" i="5"/>
  <c r="E266" i="5"/>
  <c r="E267" i="5"/>
  <c r="E268" i="5"/>
  <c r="E269" i="5"/>
  <c r="E270" i="5"/>
  <c r="E271" i="5"/>
  <c r="E272" i="5"/>
  <c r="E273" i="5"/>
  <c r="E274" i="5"/>
  <c r="G274" i="5" s="1"/>
  <c r="E275" i="5"/>
  <c r="G275" i="5" s="1"/>
  <c r="E276" i="5"/>
  <c r="E277" i="5"/>
  <c r="E278" i="5"/>
  <c r="E279" i="5"/>
  <c r="E280" i="5"/>
  <c r="E281" i="5"/>
  <c r="E282" i="5"/>
  <c r="E283" i="5"/>
  <c r="E284" i="5"/>
  <c r="E285" i="5"/>
  <c r="E286" i="5"/>
  <c r="G286" i="5" s="1"/>
  <c r="E287" i="5"/>
  <c r="G287" i="5" s="1"/>
  <c r="E288" i="5"/>
  <c r="E289" i="5"/>
  <c r="E290" i="5"/>
  <c r="E291" i="5"/>
  <c r="E292" i="5"/>
  <c r="E293" i="5"/>
  <c r="E294" i="5"/>
  <c r="E295" i="5"/>
  <c r="E296" i="5"/>
  <c r="E297" i="5"/>
  <c r="E298" i="5"/>
  <c r="G298" i="5" s="1"/>
  <c r="E299" i="5"/>
  <c r="G299" i="5" s="1"/>
  <c r="E300" i="5"/>
  <c r="E301" i="5"/>
  <c r="E302" i="5"/>
  <c r="E303" i="5"/>
  <c r="E304" i="5"/>
  <c r="E305" i="5"/>
  <c r="E306" i="5"/>
  <c r="E307" i="5"/>
  <c r="E308" i="5"/>
  <c r="E309" i="5"/>
  <c r="E310" i="5"/>
  <c r="G310" i="5" s="1"/>
  <c r="E311" i="5"/>
  <c r="G311" i="5" s="1"/>
  <c r="E312" i="5"/>
  <c r="E313" i="5"/>
  <c r="E314" i="5"/>
  <c r="E315" i="5"/>
  <c r="E316" i="5"/>
  <c r="E317" i="5"/>
  <c r="G317" i="5" s="1"/>
  <c r="E318" i="5"/>
  <c r="E319" i="5"/>
  <c r="E320" i="5"/>
  <c r="E321" i="5"/>
  <c r="E322" i="5"/>
  <c r="G322" i="5" s="1"/>
  <c r="E323" i="5"/>
  <c r="G323" i="5" s="1"/>
  <c r="E324" i="5"/>
  <c r="E325" i="5"/>
  <c r="E326" i="5"/>
  <c r="E327" i="5"/>
  <c r="E328" i="5"/>
  <c r="E329" i="5"/>
  <c r="G329" i="5" s="1"/>
  <c r="E330" i="5"/>
  <c r="E331" i="5"/>
  <c r="E332" i="5"/>
  <c r="E333" i="5"/>
  <c r="E334" i="5"/>
  <c r="G334" i="5" s="1"/>
  <c r="E335" i="5"/>
  <c r="G335" i="5" s="1"/>
  <c r="E336" i="5"/>
  <c r="E337" i="5"/>
  <c r="E338" i="5"/>
  <c r="E339" i="5"/>
  <c r="E340" i="5"/>
  <c r="E341" i="5"/>
  <c r="G341" i="5" s="1"/>
  <c r="E342" i="5"/>
  <c r="E343" i="5"/>
  <c r="E344" i="5"/>
  <c r="E345" i="5"/>
  <c r="E346" i="5"/>
  <c r="G346" i="5" s="1"/>
  <c r="E347" i="5"/>
  <c r="E348" i="5"/>
  <c r="E349" i="5"/>
  <c r="E350" i="5"/>
  <c r="E351" i="5"/>
  <c r="E352" i="5"/>
  <c r="E353" i="5"/>
  <c r="E354" i="5"/>
  <c r="E355" i="5"/>
  <c r="G355" i="5" s="1"/>
  <c r="E356" i="5"/>
  <c r="E357" i="5"/>
  <c r="E358" i="5"/>
  <c r="G358" i="5" s="1"/>
  <c r="E359" i="5"/>
  <c r="E360" i="5"/>
  <c r="E361" i="5"/>
  <c r="E362" i="5"/>
  <c r="E363" i="5"/>
  <c r="E364" i="5"/>
  <c r="E365" i="5"/>
  <c r="E366" i="5"/>
  <c r="E367" i="5"/>
  <c r="G367" i="5" s="1"/>
  <c r="E368" i="5"/>
  <c r="E369" i="5"/>
  <c r="E370" i="5"/>
  <c r="G370" i="5" s="1"/>
  <c r="E371" i="5"/>
  <c r="E372" i="5"/>
  <c r="E373" i="5"/>
  <c r="E374" i="5"/>
  <c r="E375" i="5"/>
  <c r="E376" i="5"/>
  <c r="E377" i="5"/>
  <c r="E378" i="5"/>
  <c r="E379" i="5"/>
  <c r="G379" i="5" s="1"/>
  <c r="E380" i="5"/>
  <c r="E381" i="5"/>
  <c r="E382" i="5"/>
  <c r="G382" i="5" s="1"/>
  <c r="E383" i="5"/>
  <c r="E384" i="5"/>
  <c r="E385" i="5"/>
  <c r="E386" i="5"/>
  <c r="E387" i="5"/>
  <c r="E388" i="5"/>
  <c r="E389" i="5"/>
  <c r="E390" i="5"/>
  <c r="E391" i="5"/>
  <c r="G391" i="5" s="1"/>
  <c r="E392" i="5"/>
  <c r="E393" i="5"/>
  <c r="E394" i="5"/>
  <c r="G394" i="5" s="1"/>
  <c r="E395" i="5"/>
  <c r="E396" i="5"/>
  <c r="E397" i="5"/>
  <c r="E398" i="5"/>
  <c r="E399" i="5"/>
  <c r="E400" i="5"/>
  <c r="E2" i="5"/>
  <c r="K2" i="5"/>
  <c r="N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2" i="5"/>
  <c r="I400" i="5"/>
  <c r="G400" i="5"/>
  <c r="I399" i="5"/>
  <c r="G399" i="5"/>
  <c r="I397" i="5"/>
  <c r="I396" i="5"/>
  <c r="G395" i="5"/>
  <c r="I393" i="5"/>
  <c r="G393" i="5"/>
  <c r="I392" i="5"/>
  <c r="G392" i="5"/>
  <c r="I391" i="5"/>
  <c r="I390" i="5"/>
  <c r="G390" i="5"/>
  <c r="I389" i="5"/>
  <c r="G389" i="5"/>
  <c r="I388" i="5"/>
  <c r="G388" i="5"/>
  <c r="I387" i="5"/>
  <c r="G387" i="5"/>
  <c r="G383" i="5"/>
  <c r="I382" i="5"/>
  <c r="I381" i="5"/>
  <c r="G381" i="5"/>
  <c r="I380" i="5"/>
  <c r="G380" i="5"/>
  <c r="I378" i="5"/>
  <c r="G378" i="5"/>
  <c r="I377" i="5"/>
  <c r="G377" i="5"/>
  <c r="I376" i="5"/>
  <c r="G376" i="5"/>
  <c r="I375" i="5"/>
  <c r="G375" i="5"/>
  <c r="I374" i="5"/>
  <c r="G371" i="5"/>
  <c r="G369" i="5"/>
  <c r="I368" i="5"/>
  <c r="G368" i="5"/>
  <c r="I367" i="5"/>
  <c r="I366" i="5"/>
  <c r="G366" i="5"/>
  <c r="I365" i="5"/>
  <c r="G365" i="5"/>
  <c r="I364" i="5"/>
  <c r="G364" i="5"/>
  <c r="I363" i="5"/>
  <c r="G363" i="5"/>
  <c r="I359" i="5"/>
  <c r="G359" i="5"/>
  <c r="I358" i="5"/>
  <c r="G357" i="5"/>
  <c r="I356" i="5"/>
  <c r="G356" i="5"/>
  <c r="I355" i="5"/>
  <c r="G354" i="5"/>
  <c r="I353" i="5"/>
  <c r="G353" i="5"/>
  <c r="I352" i="5"/>
  <c r="G352" i="5"/>
  <c r="I351" i="5"/>
  <c r="G351" i="5"/>
  <c r="G347" i="5"/>
  <c r="I345" i="5"/>
  <c r="G345" i="5"/>
  <c r="I344" i="5"/>
  <c r="G344" i="5"/>
  <c r="I343" i="5"/>
  <c r="G343" i="5"/>
  <c r="G342" i="5"/>
  <c r="I341" i="5"/>
  <c r="I340" i="5"/>
  <c r="G340" i="5"/>
  <c r="I339" i="5"/>
  <c r="G339" i="5"/>
  <c r="I336" i="5"/>
  <c r="G336" i="5"/>
  <c r="G333" i="5"/>
  <c r="I332" i="5"/>
  <c r="G331" i="5"/>
  <c r="I330" i="5"/>
  <c r="G330" i="5"/>
  <c r="I329" i="5"/>
  <c r="I328" i="5"/>
  <c r="G328" i="5"/>
  <c r="I327" i="5"/>
  <c r="G327" i="5"/>
  <c r="I321" i="5"/>
  <c r="G321" i="5"/>
  <c r="I320" i="5"/>
  <c r="I319" i="5"/>
  <c r="G319" i="5"/>
  <c r="G318" i="5"/>
  <c r="I317" i="5"/>
  <c r="I316" i="5"/>
  <c r="G316" i="5"/>
  <c r="I315" i="5"/>
  <c r="G315" i="5"/>
  <c r="I312" i="5"/>
  <c r="G312" i="5"/>
  <c r="I311" i="5"/>
  <c r="G309" i="5"/>
  <c r="I308" i="5"/>
  <c r="I307" i="5"/>
  <c r="G307" i="5"/>
  <c r="G306" i="5"/>
  <c r="I305" i="5"/>
  <c r="G305" i="5"/>
  <c r="I304" i="5"/>
  <c r="G304" i="5"/>
  <c r="I303" i="5"/>
  <c r="G303" i="5"/>
  <c r="I297" i="5"/>
  <c r="G297" i="5"/>
  <c r="I296" i="5"/>
  <c r="I295" i="5"/>
  <c r="G295" i="5"/>
  <c r="G294" i="5"/>
  <c r="I293" i="5"/>
  <c r="G293" i="5"/>
  <c r="I292" i="5"/>
  <c r="G292" i="5"/>
  <c r="I291" i="5"/>
  <c r="G291" i="5"/>
  <c r="I288" i="5"/>
  <c r="G288" i="5"/>
  <c r="G285" i="5"/>
  <c r="I284" i="5"/>
  <c r="G284" i="5"/>
  <c r="G283" i="5"/>
  <c r="I282" i="5"/>
  <c r="G282" i="5"/>
  <c r="I281" i="5"/>
  <c r="G281" i="5"/>
  <c r="I280" i="5"/>
  <c r="G280" i="5"/>
  <c r="I279" i="5"/>
  <c r="G279" i="5"/>
  <c r="G276" i="5"/>
  <c r="I275" i="5"/>
  <c r="I274" i="5"/>
  <c r="I273" i="5"/>
  <c r="G273" i="5"/>
  <c r="I272" i="5"/>
  <c r="G272" i="5"/>
  <c r="G271" i="5"/>
  <c r="I270" i="5"/>
  <c r="G270" i="5"/>
  <c r="I269" i="5"/>
  <c r="G269" i="5"/>
  <c r="I268" i="5"/>
  <c r="G268" i="5"/>
  <c r="I267" i="5"/>
  <c r="G267" i="5"/>
  <c r="G264" i="5"/>
  <c r="I261" i="5"/>
  <c r="G261" i="5"/>
  <c r="I260" i="5"/>
  <c r="G260" i="5"/>
  <c r="I259" i="5"/>
  <c r="G259" i="5"/>
  <c r="G258" i="5"/>
  <c r="I257" i="5"/>
  <c r="G257" i="5"/>
  <c r="I256" i="5"/>
  <c r="G256" i="5"/>
  <c r="I255" i="5"/>
  <c r="G255" i="5"/>
  <c r="I252" i="5"/>
  <c r="G252" i="5"/>
  <c r="G249" i="5"/>
  <c r="I248" i="5"/>
  <c r="G248" i="5"/>
  <c r="G247" i="5"/>
  <c r="I246" i="5"/>
  <c r="G246" i="5"/>
  <c r="I245" i="5"/>
  <c r="G245" i="5"/>
  <c r="I244" i="5"/>
  <c r="G244" i="5"/>
  <c r="I243" i="5"/>
  <c r="G243" i="5"/>
  <c r="G240" i="5"/>
  <c r="I239" i="5"/>
  <c r="I238" i="5"/>
  <c r="I237" i="5"/>
  <c r="G237" i="5"/>
  <c r="I236" i="5"/>
  <c r="G236" i="5"/>
  <c r="G235" i="5"/>
  <c r="I234" i="5"/>
  <c r="G234" i="5"/>
  <c r="I233" i="5"/>
  <c r="G233" i="5"/>
  <c r="I232" i="5"/>
  <c r="G232" i="5"/>
  <c r="I231" i="5"/>
  <c r="G231" i="5"/>
  <c r="G228" i="5"/>
  <c r="I225" i="5"/>
  <c r="G225" i="5"/>
  <c r="I224" i="5"/>
  <c r="G224" i="5"/>
  <c r="I223" i="5"/>
  <c r="G223" i="5"/>
  <c r="G222" i="5"/>
  <c r="I221" i="5"/>
  <c r="G221" i="5"/>
  <c r="I220" i="5"/>
  <c r="G220" i="5"/>
  <c r="I219" i="5"/>
  <c r="G219" i="5"/>
  <c r="I216" i="5"/>
  <c r="G216" i="5"/>
  <c r="G213" i="5"/>
  <c r="I212" i="5"/>
  <c r="G212" i="5"/>
  <c r="G211" i="5"/>
  <c r="I210" i="5"/>
  <c r="G210" i="5"/>
  <c r="I209" i="5"/>
  <c r="G209" i="5"/>
  <c r="I208" i="5"/>
  <c r="G208" i="5"/>
  <c r="I207" i="5"/>
  <c r="G207" i="5"/>
  <c r="G204" i="5"/>
  <c r="I203" i="5"/>
  <c r="I202" i="5"/>
  <c r="I201" i="5"/>
  <c r="G201" i="5"/>
  <c r="I200" i="5"/>
  <c r="G200" i="5"/>
  <c r="G199" i="5"/>
  <c r="I198" i="5"/>
  <c r="G198" i="5"/>
  <c r="I197" i="5"/>
  <c r="G197" i="5"/>
  <c r="I196" i="5"/>
  <c r="G196" i="5"/>
  <c r="I195" i="5"/>
  <c r="G195" i="5"/>
  <c r="G192" i="5"/>
  <c r="I189" i="5"/>
  <c r="G189" i="5"/>
  <c r="I188" i="5"/>
  <c r="G188" i="5"/>
  <c r="I187" i="5"/>
  <c r="G187" i="5"/>
  <c r="G186" i="5"/>
  <c r="I185" i="5"/>
  <c r="G185" i="5"/>
  <c r="I184" i="5"/>
  <c r="G184" i="5"/>
  <c r="I183" i="5"/>
  <c r="G183" i="5"/>
  <c r="I180" i="5"/>
  <c r="G180" i="5"/>
  <c r="G177" i="5"/>
  <c r="I176" i="5"/>
  <c r="G176" i="5"/>
  <c r="G175" i="5"/>
  <c r="I174" i="5"/>
  <c r="G174" i="5"/>
  <c r="I173" i="5"/>
  <c r="G173" i="5"/>
  <c r="I172" i="5"/>
  <c r="G172" i="5"/>
  <c r="I171" i="5"/>
  <c r="G171" i="5"/>
  <c r="G168" i="5"/>
  <c r="I167" i="5"/>
  <c r="I166" i="5"/>
  <c r="I165" i="5"/>
  <c r="G165" i="5"/>
  <c r="I164" i="5"/>
  <c r="G164" i="5"/>
  <c r="G163" i="5"/>
  <c r="I162" i="5"/>
  <c r="G162" i="5"/>
  <c r="I161" i="5"/>
  <c r="G161" i="5"/>
  <c r="I160" i="5"/>
  <c r="G160" i="5"/>
  <c r="I159" i="5"/>
  <c r="G159" i="5"/>
  <c r="G156" i="5"/>
  <c r="I153" i="5"/>
  <c r="G153" i="5"/>
  <c r="I152" i="5"/>
  <c r="G152" i="5"/>
  <c r="I151" i="5"/>
  <c r="G151" i="5"/>
  <c r="G150" i="5"/>
  <c r="I149" i="5"/>
  <c r="G149" i="5"/>
  <c r="I148" i="5"/>
  <c r="G148" i="5"/>
  <c r="I147" i="5"/>
  <c r="G147" i="5"/>
  <c r="I144" i="5"/>
  <c r="G144" i="5"/>
  <c r="G141" i="5"/>
  <c r="I140" i="5"/>
  <c r="G140" i="5"/>
  <c r="G139" i="5"/>
  <c r="I138" i="5"/>
  <c r="G138" i="5"/>
  <c r="I137" i="5"/>
  <c r="G137" i="5"/>
  <c r="I136" i="5"/>
  <c r="G136" i="5"/>
  <c r="I135" i="5"/>
  <c r="G135" i="5"/>
  <c r="G132" i="5"/>
  <c r="I131" i="5"/>
  <c r="I130" i="5"/>
  <c r="I129" i="5"/>
  <c r="G129" i="5"/>
  <c r="I128" i="5"/>
  <c r="G128" i="5"/>
  <c r="G127" i="5"/>
  <c r="I126" i="5"/>
  <c r="G126" i="5"/>
  <c r="I125" i="5"/>
  <c r="G125" i="5"/>
  <c r="I124" i="5"/>
  <c r="G124" i="5"/>
  <c r="I123" i="5"/>
  <c r="G123" i="5"/>
  <c r="G120" i="5"/>
  <c r="I117" i="5"/>
  <c r="G117" i="5"/>
  <c r="I116" i="5"/>
  <c r="G116" i="5"/>
  <c r="I115" i="5"/>
  <c r="G115" i="5"/>
  <c r="G114" i="5"/>
  <c r="I113" i="5"/>
  <c r="G113" i="5"/>
  <c r="I112" i="5"/>
  <c r="G112" i="5"/>
  <c r="I111" i="5"/>
  <c r="G111" i="5"/>
  <c r="I108" i="5"/>
  <c r="G108" i="5"/>
  <c r="I105" i="5"/>
  <c r="G105" i="5"/>
  <c r="I104" i="5"/>
  <c r="G104" i="5"/>
  <c r="G103" i="5"/>
  <c r="I102" i="5"/>
  <c r="G102" i="5"/>
  <c r="I101" i="5"/>
  <c r="G101" i="5"/>
  <c r="I100" i="5"/>
  <c r="G100" i="5"/>
  <c r="I99" i="5"/>
  <c r="G99" i="5"/>
  <c r="G96" i="5"/>
  <c r="I95" i="5"/>
  <c r="I94" i="5"/>
  <c r="I93" i="5"/>
  <c r="G93" i="5"/>
  <c r="I92" i="5"/>
  <c r="G92" i="5"/>
  <c r="G91" i="5"/>
  <c r="I90" i="5"/>
  <c r="G90" i="5"/>
  <c r="I89" i="5"/>
  <c r="G89" i="5"/>
  <c r="I88" i="5"/>
  <c r="G88" i="5"/>
  <c r="I87" i="5"/>
  <c r="G87" i="5"/>
  <c r="G84" i="5"/>
  <c r="I81" i="5"/>
  <c r="G81" i="5"/>
  <c r="I80" i="5"/>
  <c r="G80" i="5"/>
  <c r="I79" i="5"/>
  <c r="G79" i="5"/>
  <c r="G78" i="5"/>
  <c r="I77" i="5"/>
  <c r="G77" i="5"/>
  <c r="I76" i="5"/>
  <c r="G76" i="5"/>
  <c r="I75" i="5"/>
  <c r="G75" i="5"/>
  <c r="I72" i="5"/>
  <c r="G72" i="5"/>
  <c r="I69" i="5"/>
  <c r="G69" i="5"/>
  <c r="I68" i="5"/>
  <c r="G68" i="5"/>
  <c r="G67" i="5"/>
  <c r="I66" i="5"/>
  <c r="G66" i="5"/>
  <c r="I65" i="5"/>
  <c r="G65" i="5"/>
  <c r="I64" i="5"/>
  <c r="G64" i="5"/>
  <c r="I63" i="5"/>
  <c r="G63" i="5"/>
  <c r="G60" i="5"/>
  <c r="I59" i="5"/>
  <c r="I58" i="5"/>
  <c r="I57" i="5"/>
  <c r="G57" i="5"/>
  <c r="I56" i="5"/>
  <c r="G56" i="5"/>
  <c r="G55" i="5"/>
  <c r="I54" i="5"/>
  <c r="G54" i="5"/>
  <c r="I53" i="5"/>
  <c r="G53" i="5"/>
  <c r="I52" i="5"/>
  <c r="G52" i="5"/>
  <c r="I51" i="5"/>
  <c r="G51" i="5"/>
  <c r="G48" i="5"/>
  <c r="I45" i="5"/>
  <c r="G45" i="5"/>
  <c r="I44" i="5"/>
  <c r="G44" i="5"/>
  <c r="I43" i="5"/>
  <c r="G43" i="5"/>
  <c r="G42" i="5"/>
  <c r="I41" i="5"/>
  <c r="G41" i="5"/>
  <c r="I40" i="5"/>
  <c r="G40" i="5"/>
  <c r="I39" i="5"/>
  <c r="G39" i="5"/>
  <c r="I36" i="5"/>
  <c r="G36" i="5"/>
  <c r="I33" i="5"/>
  <c r="G33" i="5"/>
  <c r="I32" i="5"/>
  <c r="G32" i="5"/>
  <c r="G31" i="5"/>
  <c r="I30" i="5"/>
  <c r="G30" i="5"/>
  <c r="I29" i="5"/>
  <c r="G29" i="5"/>
  <c r="I28" i="5"/>
  <c r="G28" i="5"/>
  <c r="I27" i="5"/>
  <c r="G27" i="5"/>
  <c r="G24" i="5"/>
  <c r="I22" i="5"/>
  <c r="I21" i="5"/>
  <c r="G21" i="5"/>
  <c r="I20" i="5"/>
  <c r="G20" i="5"/>
  <c r="G19" i="5"/>
  <c r="I18" i="5"/>
  <c r="G18" i="5"/>
  <c r="I17" i="5"/>
  <c r="G17" i="5"/>
  <c r="I16" i="5"/>
  <c r="G16" i="5"/>
  <c r="I15" i="5"/>
  <c r="G15" i="5"/>
  <c r="G12" i="5"/>
  <c r="I9" i="5"/>
  <c r="G9" i="5"/>
  <c r="I8" i="5"/>
  <c r="G8" i="5"/>
  <c r="I7" i="5"/>
  <c r="G7" i="5"/>
  <c r="G6" i="5"/>
  <c r="I5" i="5"/>
  <c r="G5" i="5"/>
  <c r="I4" i="5"/>
  <c r="G4" i="5"/>
  <c r="I3" i="5"/>
  <c r="G3" i="5"/>
  <c r="I2" i="5"/>
  <c r="G2" i="5"/>
  <c r="H3" i="4"/>
  <c r="H4" i="4"/>
  <c r="H5" i="4"/>
  <c r="H6" i="4"/>
  <c r="H7" i="4"/>
  <c r="H8" i="4"/>
  <c r="H9" i="4"/>
  <c r="H10" i="4"/>
  <c r="H11" i="4"/>
  <c r="H12" i="4"/>
  <c r="H13" i="4"/>
  <c r="H14" i="4"/>
  <c r="I14" i="4" s="1"/>
  <c r="H15" i="4"/>
  <c r="H16" i="4"/>
  <c r="H17" i="4"/>
  <c r="H18" i="4"/>
  <c r="H19" i="4"/>
  <c r="H20" i="4"/>
  <c r="H21" i="4"/>
  <c r="H22" i="4"/>
  <c r="H23" i="4"/>
  <c r="H24" i="4"/>
  <c r="I24" i="4" s="1"/>
  <c r="H25" i="4"/>
  <c r="I25" i="4" s="1"/>
  <c r="H26" i="4"/>
  <c r="I26" i="4" s="1"/>
  <c r="H27" i="4"/>
  <c r="H28" i="4"/>
  <c r="H29" i="4"/>
  <c r="H30" i="4"/>
  <c r="H31" i="4"/>
  <c r="H32" i="4"/>
  <c r="H33" i="4"/>
  <c r="H34" i="4"/>
  <c r="H35" i="4"/>
  <c r="H36" i="4"/>
  <c r="I36" i="4" s="1"/>
  <c r="H37" i="4"/>
  <c r="I37" i="4" s="1"/>
  <c r="H38" i="4"/>
  <c r="I38" i="4" s="1"/>
  <c r="H39" i="4"/>
  <c r="H40" i="4"/>
  <c r="H41" i="4"/>
  <c r="H42" i="4"/>
  <c r="H43" i="4"/>
  <c r="H44" i="4"/>
  <c r="H45" i="4"/>
  <c r="H46" i="4"/>
  <c r="H47" i="4"/>
  <c r="H48" i="4"/>
  <c r="I48" i="4" s="1"/>
  <c r="H49" i="4"/>
  <c r="I49" i="4" s="1"/>
  <c r="H50" i="4"/>
  <c r="I50" i="4" s="1"/>
  <c r="H51" i="4"/>
  <c r="H52" i="4"/>
  <c r="H53" i="4"/>
  <c r="H54" i="4"/>
  <c r="H55" i="4"/>
  <c r="H56" i="4"/>
  <c r="H57" i="4"/>
  <c r="H58" i="4"/>
  <c r="H59" i="4"/>
  <c r="H60" i="4"/>
  <c r="I60" i="4" s="1"/>
  <c r="H61" i="4"/>
  <c r="I61" i="4" s="1"/>
  <c r="H62" i="4"/>
  <c r="I62" i="4" s="1"/>
  <c r="H63" i="4"/>
  <c r="H64" i="4"/>
  <c r="H65" i="4"/>
  <c r="H66" i="4"/>
  <c r="H67" i="4"/>
  <c r="H68" i="4"/>
  <c r="H69" i="4"/>
  <c r="H70" i="4"/>
  <c r="I70" i="4" s="1"/>
  <c r="H71" i="4"/>
  <c r="H72" i="4"/>
  <c r="I72" i="4" s="1"/>
  <c r="H73" i="4"/>
  <c r="I73" i="4" s="1"/>
  <c r="H74" i="4"/>
  <c r="I74" i="4" s="1"/>
  <c r="H75" i="4"/>
  <c r="H76" i="4"/>
  <c r="H77" i="4"/>
  <c r="H78" i="4"/>
  <c r="H79" i="4"/>
  <c r="H80" i="4"/>
  <c r="H81" i="4"/>
  <c r="H82" i="4"/>
  <c r="H83" i="4"/>
  <c r="H84" i="4"/>
  <c r="I84" i="4" s="1"/>
  <c r="H85" i="4"/>
  <c r="I85" i="4" s="1"/>
  <c r="H86" i="4"/>
  <c r="I86" i="4" s="1"/>
  <c r="H87" i="4"/>
  <c r="H88" i="4"/>
  <c r="H89" i="4"/>
  <c r="H90" i="4"/>
  <c r="H91" i="4"/>
  <c r="H92" i="4"/>
  <c r="H93" i="4"/>
  <c r="H94" i="4"/>
  <c r="H95" i="4"/>
  <c r="H96" i="4"/>
  <c r="I96" i="4" s="1"/>
  <c r="H97" i="4"/>
  <c r="I97" i="4" s="1"/>
  <c r="H98" i="4"/>
  <c r="I98" i="4" s="1"/>
  <c r="H99" i="4"/>
  <c r="H100" i="4"/>
  <c r="H101" i="4"/>
  <c r="H102" i="4"/>
  <c r="H103" i="4"/>
  <c r="H104" i="4"/>
  <c r="H105" i="4"/>
  <c r="H106" i="4"/>
  <c r="H107" i="4"/>
  <c r="H108" i="4"/>
  <c r="I108" i="4" s="1"/>
  <c r="H109" i="4"/>
  <c r="I109" i="4" s="1"/>
  <c r="H110" i="4"/>
  <c r="I110" i="4" s="1"/>
  <c r="H111" i="4"/>
  <c r="H112" i="4"/>
  <c r="H113" i="4"/>
  <c r="H114" i="4"/>
  <c r="H115" i="4"/>
  <c r="H116" i="4"/>
  <c r="H117" i="4"/>
  <c r="H118" i="4"/>
  <c r="H119" i="4"/>
  <c r="H120" i="4"/>
  <c r="I120" i="4" s="1"/>
  <c r="H121" i="4"/>
  <c r="I121" i="4" s="1"/>
  <c r="H122" i="4"/>
  <c r="I122" i="4" s="1"/>
  <c r="H123" i="4"/>
  <c r="H124" i="4"/>
  <c r="H125" i="4"/>
  <c r="H126" i="4"/>
  <c r="H127" i="4"/>
  <c r="H128" i="4"/>
  <c r="H129" i="4"/>
  <c r="H130" i="4"/>
  <c r="H131" i="4"/>
  <c r="H132" i="4"/>
  <c r="I132" i="4" s="1"/>
  <c r="H133" i="4"/>
  <c r="I133" i="4" s="1"/>
  <c r="H134" i="4"/>
  <c r="I134" i="4" s="1"/>
  <c r="H135" i="4"/>
  <c r="H136" i="4"/>
  <c r="H137" i="4"/>
  <c r="H138" i="4"/>
  <c r="H139" i="4"/>
  <c r="H140" i="4"/>
  <c r="H141" i="4"/>
  <c r="H142" i="4"/>
  <c r="H143" i="4"/>
  <c r="H144" i="4"/>
  <c r="H145" i="4"/>
  <c r="I145" i="4" s="1"/>
  <c r="H146" i="4"/>
  <c r="I146" i="4" s="1"/>
  <c r="H147" i="4"/>
  <c r="H148" i="4"/>
  <c r="H149" i="4"/>
  <c r="H150" i="4"/>
  <c r="H151" i="4"/>
  <c r="H152" i="4"/>
  <c r="H153" i="4"/>
  <c r="H154" i="4"/>
  <c r="H155" i="4"/>
  <c r="H156" i="4"/>
  <c r="I156" i="4" s="1"/>
  <c r="H157" i="4"/>
  <c r="I157" i="4" s="1"/>
  <c r="H158" i="4"/>
  <c r="I158" i="4" s="1"/>
  <c r="H159" i="4"/>
  <c r="H160" i="4"/>
  <c r="H161" i="4"/>
  <c r="H162" i="4"/>
  <c r="H163" i="4"/>
  <c r="H164" i="4"/>
  <c r="H165" i="4"/>
  <c r="H166" i="4"/>
  <c r="H167" i="4"/>
  <c r="H168" i="4"/>
  <c r="H169" i="4"/>
  <c r="I169" i="4" s="1"/>
  <c r="H170" i="4"/>
  <c r="I170" i="4" s="1"/>
  <c r="H171" i="4"/>
  <c r="H172" i="4"/>
  <c r="H173" i="4"/>
  <c r="H174" i="4"/>
  <c r="H175" i="4"/>
  <c r="H176" i="4"/>
  <c r="H177" i="4"/>
  <c r="H178" i="4"/>
  <c r="H179" i="4"/>
  <c r="H180" i="4"/>
  <c r="I180" i="4" s="1"/>
  <c r="H181" i="4"/>
  <c r="I181" i="4" s="1"/>
  <c r="H182" i="4"/>
  <c r="I182" i="4" s="1"/>
  <c r="H183" i="4"/>
  <c r="H184" i="4"/>
  <c r="H185" i="4"/>
  <c r="H186" i="4"/>
  <c r="H187" i="4"/>
  <c r="H188" i="4"/>
  <c r="H189" i="4"/>
  <c r="H190" i="4"/>
  <c r="H191" i="4"/>
  <c r="H192" i="4"/>
  <c r="H193" i="4"/>
  <c r="H194" i="4"/>
  <c r="I194" i="4" s="1"/>
  <c r="H195" i="4"/>
  <c r="H196" i="4"/>
  <c r="H197" i="4"/>
  <c r="H198" i="4"/>
  <c r="H199" i="4"/>
  <c r="H200" i="4"/>
  <c r="H201" i="4"/>
  <c r="H202" i="4"/>
  <c r="H203" i="4"/>
  <c r="H204" i="4"/>
  <c r="I204" i="4" s="1"/>
  <c r="H205" i="4"/>
  <c r="I205" i="4" s="1"/>
  <c r="H206" i="4"/>
  <c r="I206" i="4" s="1"/>
  <c r="H207" i="4"/>
  <c r="H208" i="4"/>
  <c r="H209" i="4"/>
  <c r="H210" i="4"/>
  <c r="H211" i="4"/>
  <c r="H212" i="4"/>
  <c r="H213" i="4"/>
  <c r="H214" i="4"/>
  <c r="H215" i="4"/>
  <c r="H216" i="4"/>
  <c r="H217" i="4"/>
  <c r="I217" i="4" s="1"/>
  <c r="H218" i="4"/>
  <c r="I218" i="4" s="1"/>
  <c r="H219" i="4"/>
  <c r="H220" i="4"/>
  <c r="H221" i="4"/>
  <c r="H222" i="4"/>
  <c r="H223" i="4"/>
  <c r="H224" i="4"/>
  <c r="H225" i="4"/>
  <c r="H226" i="4"/>
  <c r="H227" i="4"/>
  <c r="H228" i="4"/>
  <c r="I228" i="4" s="1"/>
  <c r="H229" i="4"/>
  <c r="I229" i="4" s="1"/>
  <c r="H230" i="4"/>
  <c r="I230" i="4" s="1"/>
  <c r="H231" i="4"/>
  <c r="H232" i="4"/>
  <c r="H233" i="4"/>
  <c r="H234" i="4"/>
  <c r="H235" i="4"/>
  <c r="H236" i="4"/>
  <c r="H237" i="4"/>
  <c r="H238" i="4"/>
  <c r="H239" i="4"/>
  <c r="H240" i="4"/>
  <c r="I240" i="4" s="1"/>
  <c r="H241" i="4"/>
  <c r="I241" i="4" s="1"/>
  <c r="H242" i="4"/>
  <c r="I242" i="4" s="1"/>
  <c r="H243" i="4"/>
  <c r="H244" i="4"/>
  <c r="H245" i="4"/>
  <c r="H246" i="4"/>
  <c r="H247" i="4"/>
  <c r="H248" i="4"/>
  <c r="H249" i="4"/>
  <c r="H250" i="4"/>
  <c r="H251" i="4"/>
  <c r="H252" i="4"/>
  <c r="I252" i="4" s="1"/>
  <c r="H253" i="4"/>
  <c r="I253" i="4" s="1"/>
  <c r="H254" i="4"/>
  <c r="I254" i="4" s="1"/>
  <c r="H255" i="4"/>
  <c r="H256" i="4"/>
  <c r="H257" i="4"/>
  <c r="H258" i="4"/>
  <c r="H259" i="4"/>
  <c r="H260" i="4"/>
  <c r="H261" i="4"/>
  <c r="H262" i="4"/>
  <c r="H263" i="4"/>
  <c r="H264" i="4"/>
  <c r="I264" i="4" s="1"/>
  <c r="H265" i="4"/>
  <c r="I265" i="4" s="1"/>
  <c r="H266" i="4"/>
  <c r="I266" i="4" s="1"/>
  <c r="H267" i="4"/>
  <c r="H268" i="4"/>
  <c r="H269" i="4"/>
  <c r="H270" i="4"/>
  <c r="H271" i="4"/>
  <c r="H272" i="4"/>
  <c r="H273" i="4"/>
  <c r="H274" i="4"/>
  <c r="H275" i="4"/>
  <c r="H276" i="4"/>
  <c r="I276" i="4" s="1"/>
  <c r="H277" i="4"/>
  <c r="I277" i="4" s="1"/>
  <c r="H278" i="4"/>
  <c r="I278" i="4" s="1"/>
  <c r="H279" i="4"/>
  <c r="H280" i="4"/>
  <c r="H281" i="4"/>
  <c r="H282" i="4"/>
  <c r="H283" i="4"/>
  <c r="H284" i="4"/>
  <c r="H285" i="4"/>
  <c r="H286" i="4"/>
  <c r="H287" i="4"/>
  <c r="H288" i="4"/>
  <c r="H289" i="4"/>
  <c r="I289" i="4" s="1"/>
  <c r="H290" i="4"/>
  <c r="I290" i="4" s="1"/>
  <c r="H291" i="4"/>
  <c r="H292" i="4"/>
  <c r="H293" i="4"/>
  <c r="H294" i="4"/>
  <c r="H295" i="4"/>
  <c r="H296" i="4"/>
  <c r="H297" i="4"/>
  <c r="H298" i="4"/>
  <c r="H299" i="4"/>
  <c r="H300" i="4"/>
  <c r="I300" i="4" s="1"/>
  <c r="H301" i="4"/>
  <c r="I301" i="4" s="1"/>
  <c r="H302" i="4"/>
  <c r="I302" i="4" s="1"/>
  <c r="H303" i="4"/>
  <c r="H304" i="4"/>
  <c r="H305" i="4"/>
  <c r="H306" i="4"/>
  <c r="H307" i="4"/>
  <c r="H308" i="4"/>
  <c r="H309" i="4"/>
  <c r="H310" i="4"/>
  <c r="H311" i="4"/>
  <c r="H312" i="4"/>
  <c r="I312" i="4" s="1"/>
  <c r="H313" i="4"/>
  <c r="I313" i="4" s="1"/>
  <c r="H314" i="4"/>
  <c r="I314" i="4" s="1"/>
  <c r="H315" i="4"/>
  <c r="H316" i="4"/>
  <c r="H317" i="4"/>
  <c r="H318" i="4"/>
  <c r="H319" i="4"/>
  <c r="H320" i="4"/>
  <c r="H321" i="4"/>
  <c r="H322" i="4"/>
  <c r="H323" i="4"/>
  <c r="H324" i="4"/>
  <c r="I324" i="4" s="1"/>
  <c r="H325" i="4"/>
  <c r="I325" i="4" s="1"/>
  <c r="H326" i="4"/>
  <c r="I326" i="4" s="1"/>
  <c r="H327" i="4"/>
  <c r="H328" i="4"/>
  <c r="H329" i="4"/>
  <c r="H330" i="4"/>
  <c r="H331" i="4"/>
  <c r="H332" i="4"/>
  <c r="H333" i="4"/>
  <c r="H334" i="4"/>
  <c r="H335" i="4"/>
  <c r="H336" i="4"/>
  <c r="I336" i="4" s="1"/>
  <c r="H337" i="4"/>
  <c r="I337" i="4" s="1"/>
  <c r="H338" i="4"/>
  <c r="I338" i="4" s="1"/>
  <c r="H339" i="4"/>
  <c r="H340" i="4"/>
  <c r="H341" i="4"/>
  <c r="H342" i="4"/>
  <c r="H343" i="4"/>
  <c r="H344" i="4"/>
  <c r="H345" i="4"/>
  <c r="H346" i="4"/>
  <c r="H347" i="4"/>
  <c r="H348" i="4"/>
  <c r="I348" i="4" s="1"/>
  <c r="H349" i="4"/>
  <c r="I349" i="4" s="1"/>
  <c r="H350" i="4"/>
  <c r="I350" i="4" s="1"/>
  <c r="H351" i="4"/>
  <c r="H352" i="4"/>
  <c r="H353" i="4"/>
  <c r="H354" i="4"/>
  <c r="H355" i="4"/>
  <c r="H356" i="4"/>
  <c r="H357" i="4"/>
  <c r="H358" i="4"/>
  <c r="H359" i="4"/>
  <c r="H360" i="4"/>
  <c r="I360" i="4" s="1"/>
  <c r="H361" i="4"/>
  <c r="I361" i="4" s="1"/>
  <c r="H362" i="4"/>
  <c r="I362" i="4" s="1"/>
  <c r="H363" i="4"/>
  <c r="H364" i="4"/>
  <c r="H365" i="4"/>
  <c r="H366" i="4"/>
  <c r="H367" i="4"/>
  <c r="H368" i="4"/>
  <c r="H369" i="4"/>
  <c r="H370" i="4"/>
  <c r="H371" i="4"/>
  <c r="H372" i="4"/>
  <c r="H373" i="4"/>
  <c r="I373" i="4" s="1"/>
  <c r="H374" i="4"/>
  <c r="I374" i="4" s="1"/>
  <c r="H375" i="4"/>
  <c r="H376" i="4"/>
  <c r="H377" i="4"/>
  <c r="H378" i="4"/>
  <c r="H379" i="4"/>
  <c r="H380" i="4"/>
  <c r="H381" i="4"/>
  <c r="H382" i="4"/>
  <c r="H383" i="4"/>
  <c r="H384" i="4"/>
  <c r="H385" i="4"/>
  <c r="I385" i="4" s="1"/>
  <c r="H386" i="4"/>
  <c r="I386" i="4" s="1"/>
  <c r="H387" i="4"/>
  <c r="H388" i="4"/>
  <c r="H389" i="4"/>
  <c r="H390" i="4"/>
  <c r="H391" i="4"/>
  <c r="H392" i="4"/>
  <c r="H393" i="4"/>
  <c r="H394" i="4"/>
  <c r="H395" i="4"/>
  <c r="H396" i="4"/>
  <c r="I396" i="4" s="1"/>
  <c r="H397" i="4"/>
  <c r="I397" i="4" s="1"/>
  <c r="H398" i="4"/>
  <c r="I398" i="4" s="1"/>
  <c r="H399" i="4"/>
  <c r="H400" i="4"/>
  <c r="H2" i="4"/>
  <c r="F3" i="4"/>
  <c r="F4" i="4"/>
  <c r="F5" i="4"/>
  <c r="F6" i="4"/>
  <c r="F7" i="4"/>
  <c r="F8" i="4"/>
  <c r="F9" i="4"/>
  <c r="F10" i="4"/>
  <c r="F11" i="4"/>
  <c r="F12" i="4"/>
  <c r="G12" i="4" s="1"/>
  <c r="F13" i="4"/>
  <c r="F14" i="4"/>
  <c r="F15" i="4"/>
  <c r="F16" i="4"/>
  <c r="F17" i="4"/>
  <c r="F18" i="4"/>
  <c r="F19" i="4"/>
  <c r="F20" i="4"/>
  <c r="F21" i="4"/>
  <c r="F22" i="4"/>
  <c r="F23" i="4"/>
  <c r="F24" i="4"/>
  <c r="G24" i="4" s="1"/>
  <c r="F25" i="4"/>
  <c r="F26" i="4"/>
  <c r="F27" i="4"/>
  <c r="F28" i="4"/>
  <c r="F29" i="4"/>
  <c r="F30" i="4"/>
  <c r="F31" i="4"/>
  <c r="F32" i="4"/>
  <c r="F33" i="4"/>
  <c r="F34" i="4"/>
  <c r="F35" i="4"/>
  <c r="F36" i="4"/>
  <c r="G36" i="4" s="1"/>
  <c r="F37" i="4"/>
  <c r="G37" i="4" s="1"/>
  <c r="F38" i="4"/>
  <c r="G38" i="4" s="1"/>
  <c r="F39" i="4"/>
  <c r="F40" i="4"/>
  <c r="F41" i="4"/>
  <c r="F42" i="4"/>
  <c r="F43" i="4"/>
  <c r="F44" i="4"/>
  <c r="F45" i="4"/>
  <c r="F46" i="4"/>
  <c r="F47" i="4"/>
  <c r="F48" i="4"/>
  <c r="F49" i="4"/>
  <c r="F50" i="4"/>
  <c r="F51" i="4"/>
  <c r="F52" i="4"/>
  <c r="F53" i="4"/>
  <c r="F54" i="4"/>
  <c r="F55" i="4"/>
  <c r="F56" i="4"/>
  <c r="F57" i="4"/>
  <c r="F58" i="4"/>
  <c r="F59" i="4"/>
  <c r="F60" i="4"/>
  <c r="G60" i="4" s="1"/>
  <c r="F61" i="4"/>
  <c r="G61" i="4" s="1"/>
  <c r="F62" i="4"/>
  <c r="F63" i="4"/>
  <c r="F64" i="4"/>
  <c r="F65" i="4"/>
  <c r="F66" i="4"/>
  <c r="F67" i="4"/>
  <c r="F68" i="4"/>
  <c r="F69" i="4"/>
  <c r="F70" i="4"/>
  <c r="F71" i="4"/>
  <c r="F72" i="4"/>
  <c r="G72" i="4" s="1"/>
  <c r="F73" i="4"/>
  <c r="F74" i="4"/>
  <c r="F75" i="4"/>
  <c r="F76" i="4"/>
  <c r="F77" i="4"/>
  <c r="F78" i="4"/>
  <c r="F79" i="4"/>
  <c r="F80" i="4"/>
  <c r="F81" i="4"/>
  <c r="F82" i="4"/>
  <c r="F83" i="4"/>
  <c r="F84" i="4"/>
  <c r="G84" i="4" s="1"/>
  <c r="F85" i="4"/>
  <c r="F86" i="4"/>
  <c r="F87" i="4"/>
  <c r="F88" i="4"/>
  <c r="F89" i="4"/>
  <c r="F90" i="4"/>
  <c r="F91" i="4"/>
  <c r="F92" i="4"/>
  <c r="F93" i="4"/>
  <c r="F94" i="4"/>
  <c r="F95" i="4"/>
  <c r="F96" i="4"/>
  <c r="G96" i="4" s="1"/>
  <c r="F97" i="4"/>
  <c r="F98" i="4"/>
  <c r="F99" i="4"/>
  <c r="F100" i="4"/>
  <c r="F101" i="4"/>
  <c r="F102" i="4"/>
  <c r="F103" i="4"/>
  <c r="F104" i="4"/>
  <c r="F105" i="4"/>
  <c r="F106" i="4"/>
  <c r="F107" i="4"/>
  <c r="F108" i="4"/>
  <c r="G108" i="4" s="1"/>
  <c r="F109" i="4"/>
  <c r="F110" i="4"/>
  <c r="F111" i="4"/>
  <c r="F112" i="4"/>
  <c r="F113" i="4"/>
  <c r="F114" i="4"/>
  <c r="F115" i="4"/>
  <c r="F116" i="4"/>
  <c r="F117" i="4"/>
  <c r="F118" i="4"/>
  <c r="F119" i="4"/>
  <c r="F120" i="4"/>
  <c r="F121" i="4"/>
  <c r="F122" i="4"/>
  <c r="G122" i="4" s="1"/>
  <c r="F123" i="4"/>
  <c r="F124" i="4"/>
  <c r="F125" i="4"/>
  <c r="F126" i="4"/>
  <c r="F127" i="4"/>
  <c r="F128" i="4"/>
  <c r="F129" i="4"/>
  <c r="F130" i="4"/>
  <c r="F131" i="4"/>
  <c r="F132" i="4"/>
  <c r="G132" i="4" s="1"/>
  <c r="F133" i="4"/>
  <c r="F134" i="4"/>
  <c r="F135" i="4"/>
  <c r="F136" i="4"/>
  <c r="F137" i="4"/>
  <c r="F138" i="4"/>
  <c r="F139" i="4"/>
  <c r="F140" i="4"/>
  <c r="F141" i="4"/>
  <c r="F142" i="4"/>
  <c r="F143" i="4"/>
  <c r="F144" i="4"/>
  <c r="G144" i="4" s="1"/>
  <c r="F145" i="4"/>
  <c r="F146" i="4"/>
  <c r="F147" i="4"/>
  <c r="F148" i="4"/>
  <c r="F149" i="4"/>
  <c r="F150" i="4"/>
  <c r="F151" i="4"/>
  <c r="F152" i="4"/>
  <c r="F153" i="4"/>
  <c r="F154" i="4"/>
  <c r="F155" i="4"/>
  <c r="F156" i="4"/>
  <c r="G156" i="4" s="1"/>
  <c r="F157" i="4"/>
  <c r="F158" i="4"/>
  <c r="F159" i="4"/>
  <c r="F160" i="4"/>
  <c r="F161" i="4"/>
  <c r="F162" i="4"/>
  <c r="F163" i="4"/>
  <c r="F164" i="4"/>
  <c r="F165" i="4"/>
  <c r="F166" i="4"/>
  <c r="F167" i="4"/>
  <c r="F168" i="4"/>
  <c r="G168" i="4" s="1"/>
  <c r="F169" i="4"/>
  <c r="F170" i="4"/>
  <c r="F171" i="4"/>
  <c r="F172" i="4"/>
  <c r="F173" i="4"/>
  <c r="F174" i="4"/>
  <c r="F175" i="4"/>
  <c r="F176" i="4"/>
  <c r="F177" i="4"/>
  <c r="F178" i="4"/>
  <c r="F179" i="4"/>
  <c r="F180" i="4"/>
  <c r="F181" i="4"/>
  <c r="F182" i="4"/>
  <c r="F183" i="4"/>
  <c r="F184" i="4"/>
  <c r="F185" i="4"/>
  <c r="F186" i="4"/>
  <c r="F187" i="4"/>
  <c r="F188" i="4"/>
  <c r="F189" i="4"/>
  <c r="F190" i="4"/>
  <c r="F191" i="4"/>
  <c r="F192" i="4"/>
  <c r="G192" i="4" s="1"/>
  <c r="F193" i="4"/>
  <c r="F194" i="4"/>
  <c r="F195" i="4"/>
  <c r="F196" i="4"/>
  <c r="F197" i="4"/>
  <c r="F198" i="4"/>
  <c r="F199" i="4"/>
  <c r="F200" i="4"/>
  <c r="F201" i="4"/>
  <c r="F202" i="4"/>
  <c r="F203" i="4"/>
  <c r="F204" i="4"/>
  <c r="F205" i="4"/>
  <c r="F206" i="4"/>
  <c r="F207" i="4"/>
  <c r="F208" i="4"/>
  <c r="F209" i="4"/>
  <c r="F210" i="4"/>
  <c r="F211" i="4"/>
  <c r="F212" i="4"/>
  <c r="F213" i="4"/>
  <c r="F214" i="4"/>
  <c r="F215" i="4"/>
  <c r="F216" i="4"/>
  <c r="G216" i="4" s="1"/>
  <c r="F217" i="4"/>
  <c r="F218" i="4"/>
  <c r="F219" i="4"/>
  <c r="F220" i="4"/>
  <c r="F221" i="4"/>
  <c r="F222" i="4"/>
  <c r="F223" i="4"/>
  <c r="F224" i="4"/>
  <c r="F225" i="4"/>
  <c r="F226" i="4"/>
  <c r="F227" i="4"/>
  <c r="F228" i="4"/>
  <c r="G228" i="4" s="1"/>
  <c r="F229" i="4"/>
  <c r="F230" i="4"/>
  <c r="F231" i="4"/>
  <c r="F232" i="4"/>
  <c r="F233" i="4"/>
  <c r="F234" i="4"/>
  <c r="F235" i="4"/>
  <c r="F236" i="4"/>
  <c r="F237" i="4"/>
  <c r="F238" i="4"/>
  <c r="F239" i="4"/>
  <c r="F240" i="4"/>
  <c r="G240" i="4" s="1"/>
  <c r="F241" i="4"/>
  <c r="F242" i="4"/>
  <c r="F243" i="4"/>
  <c r="F244" i="4"/>
  <c r="F245" i="4"/>
  <c r="F246" i="4"/>
  <c r="F247" i="4"/>
  <c r="F248" i="4"/>
  <c r="F249" i="4"/>
  <c r="F250" i="4"/>
  <c r="F251" i="4"/>
  <c r="F252" i="4"/>
  <c r="G252" i="4" s="1"/>
  <c r="F253" i="4"/>
  <c r="F254" i="4"/>
  <c r="F255" i="4"/>
  <c r="F256" i="4"/>
  <c r="F257" i="4"/>
  <c r="F258" i="4"/>
  <c r="F259" i="4"/>
  <c r="F260" i="4"/>
  <c r="F261" i="4"/>
  <c r="F262" i="4"/>
  <c r="F263" i="4"/>
  <c r="F264" i="4"/>
  <c r="F265" i="4"/>
  <c r="F266" i="4"/>
  <c r="F267" i="4"/>
  <c r="F268" i="4"/>
  <c r="F269" i="4"/>
  <c r="F270" i="4"/>
  <c r="F271" i="4"/>
  <c r="F272" i="4"/>
  <c r="F273" i="4"/>
  <c r="F274" i="4"/>
  <c r="F275" i="4"/>
  <c r="F276" i="4"/>
  <c r="G276" i="4" s="1"/>
  <c r="F277" i="4"/>
  <c r="F278" i="4"/>
  <c r="F279" i="4"/>
  <c r="F280" i="4"/>
  <c r="F281" i="4"/>
  <c r="F282" i="4"/>
  <c r="F283" i="4"/>
  <c r="F284" i="4"/>
  <c r="F285" i="4"/>
  <c r="F286" i="4"/>
  <c r="F287" i="4"/>
  <c r="F288" i="4"/>
  <c r="F289" i="4"/>
  <c r="F290" i="4"/>
  <c r="F291" i="4"/>
  <c r="F292" i="4"/>
  <c r="F293" i="4"/>
  <c r="F294" i="4"/>
  <c r="F295" i="4"/>
  <c r="F296" i="4"/>
  <c r="F297" i="4"/>
  <c r="F298" i="4"/>
  <c r="F299" i="4"/>
  <c r="F300" i="4"/>
  <c r="G300" i="4" s="1"/>
  <c r="F301" i="4"/>
  <c r="F302" i="4"/>
  <c r="F303" i="4"/>
  <c r="F304" i="4"/>
  <c r="F305" i="4"/>
  <c r="F306" i="4"/>
  <c r="F307" i="4"/>
  <c r="F308" i="4"/>
  <c r="F309" i="4"/>
  <c r="F310" i="4"/>
  <c r="F311" i="4"/>
  <c r="F312" i="4"/>
  <c r="F313" i="4"/>
  <c r="F314" i="4"/>
  <c r="F315" i="4"/>
  <c r="F316" i="4"/>
  <c r="F317" i="4"/>
  <c r="F318" i="4"/>
  <c r="F319" i="4"/>
  <c r="F320" i="4"/>
  <c r="F321" i="4"/>
  <c r="F322" i="4"/>
  <c r="F323" i="4"/>
  <c r="F324" i="4"/>
  <c r="G324" i="4" s="1"/>
  <c r="F325" i="4"/>
  <c r="F326" i="4"/>
  <c r="F327" i="4"/>
  <c r="F328" i="4"/>
  <c r="F329" i="4"/>
  <c r="F330" i="4"/>
  <c r="F331" i="4"/>
  <c r="F332" i="4"/>
  <c r="F333" i="4"/>
  <c r="F334" i="4"/>
  <c r="F335" i="4"/>
  <c r="F336" i="4"/>
  <c r="F337" i="4"/>
  <c r="G337" i="4" s="1"/>
  <c r="F338" i="4"/>
  <c r="G338" i="4" s="1"/>
  <c r="F339" i="4"/>
  <c r="F340" i="4"/>
  <c r="F341" i="4"/>
  <c r="F342" i="4"/>
  <c r="F343" i="4"/>
  <c r="F344" i="4"/>
  <c r="F345" i="4"/>
  <c r="F346" i="4"/>
  <c r="F347" i="4"/>
  <c r="F348" i="4"/>
  <c r="G348" i="4" s="1"/>
  <c r="F349" i="4"/>
  <c r="F350" i="4"/>
  <c r="F351" i="4"/>
  <c r="F352" i="4"/>
  <c r="F353" i="4"/>
  <c r="F354" i="4"/>
  <c r="F355" i="4"/>
  <c r="F356" i="4"/>
  <c r="F357" i="4"/>
  <c r="F358" i="4"/>
  <c r="F359" i="4"/>
  <c r="F360" i="4"/>
  <c r="G360" i="4" s="1"/>
  <c r="F361" i="4"/>
  <c r="F362" i="4"/>
  <c r="F363" i="4"/>
  <c r="F364" i="4"/>
  <c r="F365" i="4"/>
  <c r="F366" i="4"/>
  <c r="F367" i="4"/>
  <c r="F368" i="4"/>
  <c r="F369" i="4"/>
  <c r="F370" i="4"/>
  <c r="F371" i="4"/>
  <c r="F372" i="4"/>
  <c r="G372" i="4" s="1"/>
  <c r="F373" i="4"/>
  <c r="F374" i="4"/>
  <c r="F375" i="4"/>
  <c r="F376" i="4"/>
  <c r="F377" i="4"/>
  <c r="F378" i="4"/>
  <c r="F379" i="4"/>
  <c r="F380" i="4"/>
  <c r="F381" i="4"/>
  <c r="F382" i="4"/>
  <c r="F383" i="4"/>
  <c r="F384" i="4"/>
  <c r="G384" i="4" s="1"/>
  <c r="F385" i="4"/>
  <c r="F386" i="4"/>
  <c r="F387" i="4"/>
  <c r="F388" i="4"/>
  <c r="F389" i="4"/>
  <c r="F390" i="4"/>
  <c r="F391" i="4"/>
  <c r="F392" i="4"/>
  <c r="F393" i="4"/>
  <c r="F394" i="4"/>
  <c r="F395" i="4"/>
  <c r="F396" i="4"/>
  <c r="G396" i="4" s="1"/>
  <c r="F397" i="4"/>
  <c r="F398" i="4"/>
  <c r="F399" i="4"/>
  <c r="F400"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2" i="4"/>
  <c r="M2" i="4"/>
  <c r="L2" i="4"/>
  <c r="K2" i="4"/>
  <c r="J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2" i="4"/>
  <c r="I4" i="4"/>
  <c r="I7" i="4"/>
  <c r="I11" i="4"/>
  <c r="I12" i="4"/>
  <c r="I13" i="4"/>
  <c r="I16" i="4"/>
  <c r="I19" i="4"/>
  <c r="I28" i="4"/>
  <c r="I31" i="4"/>
  <c r="I40" i="4"/>
  <c r="I43" i="4"/>
  <c r="I47" i="4"/>
  <c r="I52" i="4"/>
  <c r="I55" i="4"/>
  <c r="I59" i="4"/>
  <c r="I64" i="4"/>
  <c r="I67" i="4"/>
  <c r="I71" i="4"/>
  <c r="I76" i="4"/>
  <c r="I79" i="4"/>
  <c r="I88" i="4"/>
  <c r="I91" i="4"/>
  <c r="I100" i="4"/>
  <c r="I103" i="4"/>
  <c r="I106" i="4"/>
  <c r="I107" i="4"/>
  <c r="I112" i="4"/>
  <c r="I115" i="4"/>
  <c r="I124" i="4"/>
  <c r="I127" i="4"/>
  <c r="I130" i="4"/>
  <c r="I136" i="4"/>
  <c r="I141" i="4"/>
  <c r="I144" i="4"/>
  <c r="I148" i="4"/>
  <c r="I151" i="4"/>
  <c r="I160" i="4"/>
  <c r="I163" i="4"/>
  <c r="I166" i="4"/>
  <c r="I167" i="4"/>
  <c r="I168" i="4"/>
  <c r="I172" i="4"/>
  <c r="I175" i="4"/>
  <c r="I179" i="4"/>
  <c r="I184" i="4"/>
  <c r="I187" i="4"/>
  <c r="I192" i="4"/>
  <c r="I193" i="4"/>
  <c r="I196" i="4"/>
  <c r="I201" i="4"/>
  <c r="I202" i="4"/>
  <c r="I203" i="4"/>
  <c r="I208" i="4"/>
  <c r="I211" i="4"/>
  <c r="I215" i="4"/>
  <c r="I216" i="4"/>
  <c r="I220" i="4"/>
  <c r="I223" i="4"/>
  <c r="I225" i="4"/>
  <c r="I226" i="4"/>
  <c r="I227" i="4"/>
  <c r="I232" i="4"/>
  <c r="I235" i="4"/>
  <c r="I244" i="4"/>
  <c r="I247" i="4"/>
  <c r="I256" i="4"/>
  <c r="I259" i="4"/>
  <c r="I262" i="4"/>
  <c r="I263" i="4"/>
  <c r="I268" i="4"/>
  <c r="I271" i="4"/>
  <c r="I275" i="4"/>
  <c r="I280" i="4"/>
  <c r="I283" i="4"/>
  <c r="I288" i="4"/>
  <c r="I291" i="4"/>
  <c r="I292" i="4"/>
  <c r="I295" i="4"/>
  <c r="I298" i="4"/>
  <c r="I299" i="4"/>
  <c r="I304" i="4"/>
  <c r="I307" i="4"/>
  <c r="I311" i="4"/>
  <c r="I316" i="4"/>
  <c r="I319" i="4"/>
  <c r="I323" i="4"/>
  <c r="I331" i="4"/>
  <c r="I334" i="4"/>
  <c r="I335" i="4"/>
  <c r="I339" i="4"/>
  <c r="I340" i="4"/>
  <c r="I345" i="4"/>
  <c r="I347" i="4"/>
  <c r="I352" i="4"/>
  <c r="I359" i="4"/>
  <c r="I364" i="4"/>
  <c r="I367" i="4"/>
  <c r="I376" i="4"/>
  <c r="I379" i="4"/>
  <c r="I383" i="4"/>
  <c r="I384" i="4"/>
  <c r="I388" i="4"/>
  <c r="I391" i="4"/>
  <c r="I399" i="4"/>
  <c r="I400" i="4"/>
  <c r="G4" i="4"/>
  <c r="G9" i="4"/>
  <c r="G10" i="4"/>
  <c r="G11" i="4"/>
  <c r="G16" i="4"/>
  <c r="G19" i="4"/>
  <c r="G21" i="4"/>
  <c r="G22" i="4"/>
  <c r="G23" i="4"/>
  <c r="G33" i="4"/>
  <c r="G34" i="4"/>
  <c r="G35" i="4"/>
  <c r="G40" i="4"/>
  <c r="G45" i="4"/>
  <c r="G46" i="4"/>
  <c r="G47" i="4"/>
  <c r="G52" i="4"/>
  <c r="G57" i="4"/>
  <c r="G58" i="4"/>
  <c r="G59" i="4"/>
  <c r="G64" i="4"/>
  <c r="G67" i="4"/>
  <c r="G69" i="4"/>
  <c r="G70" i="4"/>
  <c r="G71" i="4"/>
  <c r="G76" i="4"/>
  <c r="G79" i="4"/>
  <c r="G82" i="4"/>
  <c r="G83" i="4"/>
  <c r="G88" i="4"/>
  <c r="G91" i="4"/>
  <c r="G94" i="4"/>
  <c r="G95" i="4"/>
  <c r="G100" i="4"/>
  <c r="G106" i="4"/>
  <c r="G107" i="4"/>
  <c r="G112" i="4"/>
  <c r="G117" i="4"/>
  <c r="G118" i="4"/>
  <c r="G119" i="4"/>
  <c r="G120" i="4"/>
  <c r="G124" i="4"/>
  <c r="G129" i="4"/>
  <c r="G130" i="4"/>
  <c r="G131" i="4"/>
  <c r="G136" i="4"/>
  <c r="G141" i="4"/>
  <c r="G142" i="4"/>
  <c r="G143" i="4"/>
  <c r="G151" i="4"/>
  <c r="G153" i="4"/>
  <c r="G154" i="4"/>
  <c r="G155" i="4"/>
  <c r="G165" i="4"/>
  <c r="G166" i="4"/>
  <c r="G167" i="4"/>
  <c r="G172" i="4"/>
  <c r="G175" i="4"/>
  <c r="G177" i="4"/>
  <c r="G178" i="4"/>
  <c r="G179" i="4"/>
  <c r="G180" i="4"/>
  <c r="G184" i="4"/>
  <c r="G187" i="4"/>
  <c r="G189" i="4"/>
  <c r="G190" i="4"/>
  <c r="G191" i="4"/>
  <c r="G201" i="4"/>
  <c r="G202" i="4"/>
  <c r="G203" i="4"/>
  <c r="G204" i="4"/>
  <c r="G205" i="4"/>
  <c r="G211" i="4"/>
  <c r="G213" i="4"/>
  <c r="G214" i="4"/>
  <c r="G215" i="4"/>
  <c r="G220" i="4"/>
  <c r="G225" i="4"/>
  <c r="G226" i="4"/>
  <c r="G227" i="4"/>
  <c r="G232" i="4"/>
  <c r="G238" i="4"/>
  <c r="G239" i="4"/>
  <c r="G244" i="4"/>
  <c r="G250" i="4"/>
  <c r="G251" i="4"/>
  <c r="G256" i="4"/>
  <c r="G259" i="4"/>
  <c r="G262" i="4"/>
  <c r="G263" i="4"/>
  <c r="G264" i="4"/>
  <c r="G268" i="4"/>
  <c r="G271" i="4"/>
  <c r="G273" i="4"/>
  <c r="G274" i="4"/>
  <c r="G275" i="4"/>
  <c r="G280" i="4"/>
  <c r="G283" i="4"/>
  <c r="G284" i="4"/>
  <c r="G285" i="4"/>
  <c r="G286" i="4"/>
  <c r="G287" i="4"/>
  <c r="G288" i="4"/>
  <c r="G292" i="4"/>
  <c r="G295" i="4"/>
  <c r="G297" i="4"/>
  <c r="G298" i="4"/>
  <c r="G299" i="4"/>
  <c r="G304" i="4"/>
  <c r="G307" i="4"/>
  <c r="G310" i="4"/>
  <c r="G311" i="4"/>
  <c r="G312" i="4"/>
  <c r="G316" i="4"/>
  <c r="G319" i="4"/>
  <c r="G320" i="4"/>
  <c r="G321" i="4"/>
  <c r="G322" i="4"/>
  <c r="G323" i="4"/>
  <c r="G328" i="4"/>
  <c r="G331" i="4"/>
  <c r="G332" i="4"/>
  <c r="G333" i="4"/>
  <c r="G334" i="4"/>
  <c r="G335" i="4"/>
  <c r="G336" i="4"/>
  <c r="G340" i="4"/>
  <c r="G345" i="4"/>
  <c r="G346" i="4"/>
  <c r="G347" i="4"/>
  <c r="G352" i="4"/>
  <c r="G355" i="4"/>
  <c r="G357" i="4"/>
  <c r="G358" i="4"/>
  <c r="G359" i="4"/>
  <c r="G364" i="4"/>
  <c r="G367" i="4"/>
  <c r="G369" i="4"/>
  <c r="G370" i="4"/>
  <c r="G371" i="4"/>
  <c r="G376" i="4"/>
  <c r="G377" i="4"/>
  <c r="G379" i="4"/>
  <c r="G381" i="4"/>
  <c r="G382" i="4"/>
  <c r="G383" i="4"/>
  <c r="G388" i="4"/>
  <c r="G391" i="4"/>
  <c r="G393" i="4"/>
  <c r="G394" i="4"/>
  <c r="G395" i="4"/>
  <c r="G400" i="4"/>
  <c r="I23" i="4"/>
  <c r="I83" i="4"/>
  <c r="I119" i="4"/>
  <c r="I129" i="4"/>
  <c r="I143" i="4"/>
  <c r="I155" i="4"/>
  <c r="I189" i="4"/>
  <c r="I285" i="4"/>
  <c r="I286" i="4"/>
  <c r="I309" i="4"/>
  <c r="I346" i="4"/>
  <c r="I355" i="4"/>
  <c r="I363" i="4"/>
  <c r="I369" i="4"/>
  <c r="I370" i="4"/>
  <c r="I375" i="4"/>
  <c r="I382" i="4"/>
  <c r="I393" i="4"/>
  <c r="G6" i="4"/>
  <c r="G7" i="4"/>
  <c r="G18" i="4"/>
  <c r="G30" i="4"/>
  <c r="G42" i="4"/>
  <c r="G48" i="4"/>
  <c r="G54" i="4"/>
  <c r="G66" i="4"/>
  <c r="G78" i="4"/>
  <c r="G102" i="4"/>
  <c r="G103" i="4"/>
  <c r="G114" i="4"/>
  <c r="G126" i="4"/>
  <c r="G162" i="4"/>
  <c r="G163" i="4"/>
  <c r="G174" i="4"/>
  <c r="G186" i="4"/>
  <c r="G199" i="4"/>
  <c r="G222" i="4"/>
  <c r="G223" i="4"/>
  <c r="G234" i="4"/>
  <c r="G246" i="4"/>
  <c r="G294" i="4"/>
  <c r="G306" i="4"/>
  <c r="G318" i="4"/>
  <c r="G329" i="4"/>
  <c r="G342" i="4"/>
  <c r="G353" i="4"/>
  <c r="G390" i="4"/>
  <c r="G399" i="4"/>
  <c r="I395" i="4"/>
  <c r="I394" i="4"/>
  <c r="I392" i="4"/>
  <c r="G392" i="4"/>
  <c r="I390" i="4"/>
  <c r="I389" i="4"/>
  <c r="G389" i="4"/>
  <c r="I387" i="4"/>
  <c r="G387" i="4"/>
  <c r="I381" i="4"/>
  <c r="I380" i="4"/>
  <c r="G380" i="4"/>
  <c r="I378" i="4"/>
  <c r="G378" i="4"/>
  <c r="I377" i="4"/>
  <c r="G375" i="4"/>
  <c r="I372" i="4"/>
  <c r="I371" i="4"/>
  <c r="I368" i="4"/>
  <c r="G368" i="4"/>
  <c r="I366" i="4"/>
  <c r="G366" i="4"/>
  <c r="I365" i="4"/>
  <c r="G365" i="4"/>
  <c r="G363" i="4"/>
  <c r="I358" i="4"/>
  <c r="I357" i="4"/>
  <c r="I356" i="4"/>
  <c r="G356" i="4"/>
  <c r="I354" i="4"/>
  <c r="G354" i="4"/>
  <c r="I353" i="4"/>
  <c r="I351" i="4"/>
  <c r="G351" i="4"/>
  <c r="I344" i="4"/>
  <c r="G344" i="4"/>
  <c r="I343" i="4"/>
  <c r="G343" i="4"/>
  <c r="I342" i="4"/>
  <c r="I341" i="4"/>
  <c r="G341" i="4"/>
  <c r="G339" i="4"/>
  <c r="I333" i="4"/>
  <c r="I332" i="4"/>
  <c r="I330" i="4"/>
  <c r="G330" i="4"/>
  <c r="I329" i="4"/>
  <c r="I328" i="4"/>
  <c r="I327" i="4"/>
  <c r="G327" i="4"/>
  <c r="I322" i="4"/>
  <c r="I321" i="4"/>
  <c r="I320" i="4"/>
  <c r="I318" i="4"/>
  <c r="I317" i="4"/>
  <c r="G317" i="4"/>
  <c r="I315" i="4"/>
  <c r="G315" i="4"/>
  <c r="I310" i="4"/>
  <c r="G309" i="4"/>
  <c r="I308" i="4"/>
  <c r="G308" i="4"/>
  <c r="I306" i="4"/>
  <c r="I305" i="4"/>
  <c r="G305" i="4"/>
  <c r="I303" i="4"/>
  <c r="G303" i="4"/>
  <c r="I297" i="4"/>
  <c r="I296" i="4"/>
  <c r="G296" i="4"/>
  <c r="I294" i="4"/>
  <c r="I293" i="4"/>
  <c r="G293" i="4"/>
  <c r="G291" i="4"/>
  <c r="I287" i="4"/>
  <c r="I284" i="4"/>
  <c r="I282" i="4"/>
  <c r="G282" i="4"/>
  <c r="I281" i="4"/>
  <c r="G281" i="4"/>
  <c r="I279" i="4"/>
  <c r="G279" i="4"/>
  <c r="I274" i="4"/>
  <c r="I273" i="4"/>
  <c r="I272" i="4"/>
  <c r="G272" i="4"/>
  <c r="I270" i="4"/>
  <c r="G270" i="4"/>
  <c r="I269" i="4"/>
  <c r="G269" i="4"/>
  <c r="I267" i="4"/>
  <c r="G267" i="4"/>
  <c r="I261" i="4"/>
  <c r="G261" i="4"/>
  <c r="I260" i="4"/>
  <c r="G260" i="4"/>
  <c r="I258" i="4"/>
  <c r="G258" i="4"/>
  <c r="I257" i="4"/>
  <c r="G257" i="4"/>
  <c r="I255" i="4"/>
  <c r="G255" i="4"/>
  <c r="I251" i="4"/>
  <c r="I250" i="4"/>
  <c r="I249" i="4"/>
  <c r="G249" i="4"/>
  <c r="I248" i="4"/>
  <c r="G248" i="4"/>
  <c r="G247" i="4"/>
  <c r="I246" i="4"/>
  <c r="I245" i="4"/>
  <c r="G245" i="4"/>
  <c r="I243" i="4"/>
  <c r="G243" i="4"/>
  <c r="I239" i="4"/>
  <c r="I238" i="4"/>
  <c r="I237" i="4"/>
  <c r="G237" i="4"/>
  <c r="I236" i="4"/>
  <c r="G236" i="4"/>
  <c r="G235" i="4"/>
  <c r="I234" i="4"/>
  <c r="I233" i="4"/>
  <c r="G233" i="4"/>
  <c r="I231" i="4"/>
  <c r="G231" i="4"/>
  <c r="I224" i="4"/>
  <c r="G224" i="4"/>
  <c r="I222" i="4"/>
  <c r="I221" i="4"/>
  <c r="G221" i="4"/>
  <c r="I219" i="4"/>
  <c r="G219" i="4"/>
  <c r="I214" i="4"/>
  <c r="I213" i="4"/>
  <c r="I212" i="4"/>
  <c r="G212" i="4"/>
  <c r="I210" i="4"/>
  <c r="G210" i="4"/>
  <c r="I209" i="4"/>
  <c r="G209" i="4"/>
  <c r="G208" i="4"/>
  <c r="I207" i="4"/>
  <c r="G207" i="4"/>
  <c r="I200" i="4"/>
  <c r="G200" i="4"/>
  <c r="I199" i="4"/>
  <c r="I198" i="4"/>
  <c r="G198" i="4"/>
  <c r="I197" i="4"/>
  <c r="G197" i="4"/>
  <c r="G196" i="4"/>
  <c r="I195" i="4"/>
  <c r="G195" i="4"/>
  <c r="I191" i="4"/>
  <c r="I190" i="4"/>
  <c r="I188" i="4"/>
  <c r="G188" i="4"/>
  <c r="I186" i="4"/>
  <c r="I185" i="4"/>
  <c r="G185" i="4"/>
  <c r="I183" i="4"/>
  <c r="G183" i="4"/>
  <c r="I178" i="4"/>
  <c r="I177" i="4"/>
  <c r="I176" i="4"/>
  <c r="G176" i="4"/>
  <c r="I174" i="4"/>
  <c r="I173" i="4"/>
  <c r="G173" i="4"/>
  <c r="I171" i="4"/>
  <c r="G171" i="4"/>
  <c r="I165" i="4"/>
  <c r="I164" i="4"/>
  <c r="G164" i="4"/>
  <c r="I162" i="4"/>
  <c r="I161" i="4"/>
  <c r="G161" i="4"/>
  <c r="G160" i="4"/>
  <c r="I159" i="4"/>
  <c r="G159" i="4"/>
  <c r="I154" i="4"/>
  <c r="I153" i="4"/>
  <c r="I152" i="4"/>
  <c r="G152" i="4"/>
  <c r="I150" i="4"/>
  <c r="G150" i="4"/>
  <c r="I149" i="4"/>
  <c r="G149" i="4"/>
  <c r="G148" i="4"/>
  <c r="I147" i="4"/>
  <c r="G147" i="4"/>
  <c r="I142" i="4"/>
  <c r="I140" i="4"/>
  <c r="G140" i="4"/>
  <c r="I139" i="4"/>
  <c r="G139" i="4"/>
  <c r="I138" i="4"/>
  <c r="G138" i="4"/>
  <c r="I137" i="4"/>
  <c r="G137" i="4"/>
  <c r="I135" i="4"/>
  <c r="G135" i="4"/>
  <c r="I131" i="4"/>
  <c r="I128" i="4"/>
  <c r="G128" i="4"/>
  <c r="G127" i="4"/>
  <c r="I126" i="4"/>
  <c r="I125" i="4"/>
  <c r="G125" i="4"/>
  <c r="I123" i="4"/>
  <c r="G123" i="4"/>
  <c r="I118" i="4"/>
  <c r="I117" i="4"/>
  <c r="I116" i="4"/>
  <c r="G116" i="4"/>
  <c r="G115" i="4"/>
  <c r="I114" i="4"/>
  <c r="I113" i="4"/>
  <c r="G113" i="4"/>
  <c r="I111" i="4"/>
  <c r="G111" i="4"/>
  <c r="I105" i="4"/>
  <c r="G105" i="4"/>
  <c r="I104" i="4"/>
  <c r="G104" i="4"/>
  <c r="I102" i="4"/>
  <c r="I101" i="4"/>
  <c r="G101" i="4"/>
  <c r="I99" i="4"/>
  <c r="G99" i="4"/>
  <c r="I95" i="4"/>
  <c r="I94" i="4"/>
  <c r="I93" i="4"/>
  <c r="G93" i="4"/>
  <c r="I92" i="4"/>
  <c r="G92" i="4"/>
  <c r="I90" i="4"/>
  <c r="G90" i="4"/>
  <c r="I89" i="4"/>
  <c r="G89" i="4"/>
  <c r="I87" i="4"/>
  <c r="G87" i="4"/>
  <c r="I82" i="4"/>
  <c r="I81" i="4"/>
  <c r="G81" i="4"/>
  <c r="I80" i="4"/>
  <c r="G80" i="4"/>
  <c r="I78" i="4"/>
  <c r="I77" i="4"/>
  <c r="G77" i="4"/>
  <c r="I75" i="4"/>
  <c r="G75" i="4"/>
  <c r="I69" i="4"/>
  <c r="I68" i="4"/>
  <c r="G68" i="4"/>
  <c r="I66" i="4"/>
  <c r="I65" i="4"/>
  <c r="G65" i="4"/>
  <c r="I63" i="4"/>
  <c r="G63" i="4"/>
  <c r="I58" i="4"/>
  <c r="I57" i="4"/>
  <c r="I56" i="4"/>
  <c r="G56" i="4"/>
  <c r="G55" i="4"/>
  <c r="I54" i="4"/>
  <c r="I53" i="4"/>
  <c r="G53" i="4"/>
  <c r="I51" i="4"/>
  <c r="G51" i="4"/>
  <c r="I46" i="4"/>
  <c r="I45" i="4"/>
  <c r="I44" i="4"/>
  <c r="G44" i="4"/>
  <c r="G43" i="4"/>
  <c r="I42" i="4"/>
  <c r="I41" i="4"/>
  <c r="G41" i="4"/>
  <c r="I39" i="4"/>
  <c r="G39" i="4"/>
  <c r="I35" i="4"/>
  <c r="I34" i="4"/>
  <c r="I33" i="4"/>
  <c r="I32" i="4"/>
  <c r="G32" i="4"/>
  <c r="G31" i="4"/>
  <c r="I30" i="4"/>
  <c r="I29" i="4"/>
  <c r="G29" i="4"/>
  <c r="G28" i="4"/>
  <c r="I27" i="4"/>
  <c r="G27" i="4"/>
  <c r="I22" i="4"/>
  <c r="I21" i="4"/>
  <c r="I20" i="4"/>
  <c r="G20" i="4"/>
  <c r="I18" i="4"/>
  <c r="I17" i="4"/>
  <c r="G17" i="4"/>
  <c r="I15" i="4"/>
  <c r="G15" i="4"/>
  <c r="I10" i="4"/>
  <c r="I9" i="4"/>
  <c r="I8" i="4"/>
  <c r="G8" i="4"/>
  <c r="I6" i="4"/>
  <c r="I5" i="4"/>
  <c r="G5" i="4"/>
  <c r="I3" i="4"/>
  <c r="G3" i="4"/>
  <c r="N2" i="4"/>
  <c r="I2" i="4"/>
  <c r="G2" i="4"/>
  <c r="K9" i="3"/>
  <c r="J9" i="3"/>
  <c r="P10" i="3"/>
  <c r="O10" i="3"/>
  <c r="N10"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2" i="3"/>
  <c r="G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2" i="3"/>
  <c r="N2" i="3"/>
  <c r="M2" i="3"/>
  <c r="L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2" i="3"/>
  <c r="K2" i="3"/>
  <c r="J2" i="3"/>
  <c r="K11" i="6" l="1"/>
  <c r="L11" i="6" s="1"/>
  <c r="J11" i="6"/>
  <c r="J8" i="8"/>
  <c r="K8" i="8"/>
  <c r="G332" i="5"/>
  <c r="G320" i="5"/>
  <c r="G308" i="5"/>
  <c r="G296" i="5"/>
  <c r="G398" i="5"/>
  <c r="G386" i="5"/>
  <c r="G374" i="5"/>
  <c r="G362" i="5"/>
  <c r="G350" i="5"/>
  <c r="G338" i="5"/>
  <c r="G326" i="5"/>
  <c r="G314" i="5"/>
  <c r="G302" i="5"/>
  <c r="G290" i="5"/>
  <c r="G278" i="5"/>
  <c r="G266" i="5"/>
  <c r="G254" i="5"/>
  <c r="G242" i="5"/>
  <c r="G230" i="5"/>
  <c r="G218" i="5"/>
  <c r="G206" i="5"/>
  <c r="G194" i="5"/>
  <c r="G182" i="5"/>
  <c r="G170" i="5"/>
  <c r="G158" i="5"/>
  <c r="G146" i="5"/>
  <c r="G134" i="5"/>
  <c r="G122" i="5"/>
  <c r="G110" i="5"/>
  <c r="G98" i="5"/>
  <c r="G86" i="5"/>
  <c r="G74" i="5"/>
  <c r="G62" i="5"/>
  <c r="G50" i="5"/>
  <c r="G38" i="5"/>
  <c r="G26" i="5"/>
  <c r="G14" i="5"/>
  <c r="G397" i="5"/>
  <c r="G385" i="5"/>
  <c r="G373" i="5"/>
  <c r="G361" i="5"/>
  <c r="G349" i="5"/>
  <c r="G337" i="5"/>
  <c r="G325" i="5"/>
  <c r="G313" i="5"/>
  <c r="G301" i="5"/>
  <c r="G289" i="5"/>
  <c r="G277" i="5"/>
  <c r="G265" i="5"/>
  <c r="G253" i="5"/>
  <c r="G241" i="5"/>
  <c r="G229" i="5"/>
  <c r="G217" i="5"/>
  <c r="G205" i="5"/>
  <c r="G193" i="5"/>
  <c r="G181" i="5"/>
  <c r="G169" i="5"/>
  <c r="G157" i="5"/>
  <c r="G145" i="5"/>
  <c r="G133" i="5"/>
  <c r="G121" i="5"/>
  <c r="G109" i="5"/>
  <c r="G97" i="5"/>
  <c r="G85" i="5"/>
  <c r="G73" i="5"/>
  <c r="N10" i="5" s="1"/>
  <c r="G61" i="5"/>
  <c r="G49" i="5"/>
  <c r="G37" i="5"/>
  <c r="G25" i="5"/>
  <c r="G13" i="5"/>
  <c r="G396" i="5"/>
  <c r="G384" i="5"/>
  <c r="M2" i="5"/>
  <c r="L2" i="5"/>
  <c r="O10" i="5"/>
  <c r="G398" i="4"/>
  <c r="G386" i="4"/>
  <c r="G374" i="4"/>
  <c r="G362" i="4"/>
  <c r="G350" i="4"/>
  <c r="G326" i="4"/>
  <c r="G314" i="4"/>
  <c r="G302" i="4"/>
  <c r="G290" i="4"/>
  <c r="G278" i="4"/>
  <c r="G266" i="4"/>
  <c r="G254" i="4"/>
  <c r="G242" i="4"/>
  <c r="G230" i="4"/>
  <c r="G218" i="4"/>
  <c r="G206" i="4"/>
  <c r="G194" i="4"/>
  <c r="G182" i="4"/>
  <c r="G170" i="4"/>
  <c r="G158" i="4"/>
  <c r="G146" i="4"/>
  <c r="G134" i="4"/>
  <c r="G110" i="4"/>
  <c r="G98" i="4"/>
  <c r="G86" i="4"/>
  <c r="G74" i="4"/>
  <c r="G62" i="4"/>
  <c r="N10" i="4" s="1"/>
  <c r="G50" i="4"/>
  <c r="G26" i="4"/>
  <c r="G14" i="4"/>
  <c r="G397" i="4"/>
  <c r="G385" i="4"/>
  <c r="G373" i="4"/>
  <c r="G361" i="4"/>
  <c r="G349" i="4"/>
  <c r="G325" i="4"/>
  <c r="G313" i="4"/>
  <c r="G301" i="4"/>
  <c r="G289" i="4"/>
  <c r="G277" i="4"/>
  <c r="G265" i="4"/>
  <c r="G253" i="4"/>
  <c r="G241" i="4"/>
  <c r="G229" i="4"/>
  <c r="G217" i="4"/>
  <c r="G193" i="4"/>
  <c r="G181" i="4"/>
  <c r="G169" i="4"/>
  <c r="G157" i="4"/>
  <c r="G145" i="4"/>
  <c r="G133" i="4"/>
  <c r="G121" i="4"/>
  <c r="G109" i="4"/>
  <c r="G97" i="4"/>
  <c r="G85" i="4"/>
  <c r="G73" i="4"/>
  <c r="G49" i="4"/>
  <c r="G25" i="4"/>
  <c r="G13" i="4"/>
  <c r="O10" i="4"/>
  <c r="L8" i="8" l="1"/>
  <c r="P10" i="5"/>
  <c r="J9" i="4"/>
  <c r="K9" i="4" s="1"/>
  <c r="P10" i="4"/>
</calcChain>
</file>

<file path=xl/sharedStrings.xml><?xml version="1.0" encoding="utf-8"?>
<sst xmlns="http://schemas.openxmlformats.org/spreadsheetml/2006/main" count="612" uniqueCount="53">
  <si>
    <t>SPC</t>
  </si>
  <si>
    <t>AGE</t>
  </si>
  <si>
    <t>MASS</t>
  </si>
  <si>
    <t>WSP</t>
  </si>
  <si>
    <t>HID</t>
  </si>
  <si>
    <t>SPD</t>
  </si>
  <si>
    <t>FHO</t>
  </si>
  <si>
    <t>Hydra</t>
  </si>
  <si>
    <t>Wyvern</t>
  </si>
  <si>
    <t>Dragon</t>
  </si>
  <si>
    <t>x bar</t>
  </si>
  <si>
    <t>y bar</t>
  </si>
  <si>
    <t>xy bar</t>
  </si>
  <si>
    <t>x bar squared</t>
  </si>
  <si>
    <t>x squared bar</t>
  </si>
  <si>
    <t>MXM</t>
  </si>
  <si>
    <t>MXFHO</t>
  </si>
  <si>
    <t>PREDICTED FHO</t>
  </si>
  <si>
    <t>FHO - Y BAR</t>
  </si>
  <si>
    <t>(FHO- Y BAR) SQUARED</t>
  </si>
  <si>
    <t>SSres</t>
  </si>
  <si>
    <t>Sstot</t>
  </si>
  <si>
    <t>Beta 1</t>
  </si>
  <si>
    <t>Beta 0</t>
  </si>
  <si>
    <t>FHO - PREDICTED FHO</t>
  </si>
  <si>
    <t>(FHO - PREDICTED FHO) SQUARED</t>
  </si>
  <si>
    <t>WSP SQUARED</t>
  </si>
  <si>
    <t>WSPXFHO</t>
  </si>
  <si>
    <t>AGEXAGE</t>
  </si>
  <si>
    <t>AGEXFHO</t>
  </si>
  <si>
    <t>predicted fho</t>
  </si>
  <si>
    <t>FHO-PEDICTED FHO SQUARED</t>
  </si>
  <si>
    <t>FHO - Y BAR SQUARED</t>
  </si>
  <si>
    <t xml:space="preserve">(FHO - Y BAR) squared </t>
  </si>
  <si>
    <t>Ssres</t>
  </si>
  <si>
    <t>(FHO -PREDICTED FHO) SQUARED</t>
  </si>
  <si>
    <t>FHO -PREDICTED FHO</t>
  </si>
  <si>
    <t>Y BAR</t>
  </si>
  <si>
    <t>fho - predicted fho</t>
  </si>
  <si>
    <t>(fho - predicted fho) squared</t>
  </si>
  <si>
    <t>fho - y bar</t>
  </si>
  <si>
    <t>(fho - y bar ) squared</t>
  </si>
  <si>
    <t>MODEL</t>
  </si>
  <si>
    <t>TEST R2</t>
  </si>
  <si>
    <t>TRAIN R2</t>
  </si>
  <si>
    <t xml:space="preserve">MASS </t>
  </si>
  <si>
    <t>Notes:</t>
  </si>
  <si>
    <t>The WSP model achieved the highest test R2, indicating that wingspan is the strongest single predictor of flame heat output. AGE and Mass produced substantially lower test R2 values, suggesting they are less informative predictors</t>
  </si>
  <si>
    <t>TRAIN R2 - TEST R2</t>
  </si>
  <si>
    <t>No</t>
  </si>
  <si>
    <t>OVERFITTING? (D&lt;0.05?)</t>
  </si>
  <si>
    <t>There are no signs of overfitting, for the models, the difference between Train R2 and Test R2 is small (ie &lt;0.05)</t>
  </si>
  <si>
    <t>I would recommend the WSP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</si>
</sst>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quot;#,##0;[Red]\-&quot;R&quot;#,##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6" fontId="0" fillId="0" borderId="0" xfId="0" applyNumberFormat="1"/>
    <xf numFmtId="0" fontId="1" fillId="0" borderId="0" xfId="0" applyFont="1"/>
    <xf numFmtId="0" fontId="0" fillId="0" borderId="1" xfId="0" applyBorder="1"/>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FHO vs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TRAIN_MASS!$A$2:$A$400</c:f>
              <c:numCache>
                <c:formatCode>General</c:formatCode>
                <c:ptCount val="399"/>
                <c:pt idx="0">
                  <c:v>70142</c:v>
                </c:pt>
                <c:pt idx="1">
                  <c:v>9733</c:v>
                </c:pt>
                <c:pt idx="2">
                  <c:v>5195</c:v>
                </c:pt>
                <c:pt idx="3">
                  <c:v>211409</c:v>
                </c:pt>
                <c:pt idx="4">
                  <c:v>9168</c:v>
                </c:pt>
                <c:pt idx="5">
                  <c:v>16100</c:v>
                </c:pt>
                <c:pt idx="6">
                  <c:v>33723</c:v>
                </c:pt>
                <c:pt idx="7">
                  <c:v>282138</c:v>
                </c:pt>
                <c:pt idx="8">
                  <c:v>117675</c:v>
                </c:pt>
                <c:pt idx="9">
                  <c:v>8271</c:v>
                </c:pt>
                <c:pt idx="10">
                  <c:v>1072707</c:v>
                </c:pt>
                <c:pt idx="11">
                  <c:v>63440</c:v>
                </c:pt>
                <c:pt idx="12">
                  <c:v>696962</c:v>
                </c:pt>
                <c:pt idx="13">
                  <c:v>99115</c:v>
                </c:pt>
                <c:pt idx="14">
                  <c:v>7058</c:v>
                </c:pt>
                <c:pt idx="15">
                  <c:v>2592325</c:v>
                </c:pt>
                <c:pt idx="16">
                  <c:v>64414</c:v>
                </c:pt>
                <c:pt idx="17">
                  <c:v>280574</c:v>
                </c:pt>
                <c:pt idx="18">
                  <c:v>23713</c:v>
                </c:pt>
                <c:pt idx="19">
                  <c:v>841954</c:v>
                </c:pt>
                <c:pt idx="20">
                  <c:v>218775</c:v>
                </c:pt>
                <c:pt idx="21">
                  <c:v>15703</c:v>
                </c:pt>
                <c:pt idx="22">
                  <c:v>3376797</c:v>
                </c:pt>
                <c:pt idx="23">
                  <c:v>83972</c:v>
                </c:pt>
                <c:pt idx="24">
                  <c:v>119112</c:v>
                </c:pt>
                <c:pt idx="25">
                  <c:v>763740</c:v>
                </c:pt>
                <c:pt idx="26">
                  <c:v>422914</c:v>
                </c:pt>
                <c:pt idx="27">
                  <c:v>361453</c:v>
                </c:pt>
                <c:pt idx="28">
                  <c:v>27539</c:v>
                </c:pt>
                <c:pt idx="29">
                  <c:v>616930</c:v>
                </c:pt>
                <c:pt idx="30">
                  <c:v>73593</c:v>
                </c:pt>
                <c:pt idx="31">
                  <c:v>101956</c:v>
                </c:pt>
                <c:pt idx="32">
                  <c:v>2456</c:v>
                </c:pt>
                <c:pt idx="33">
                  <c:v>40923</c:v>
                </c:pt>
                <c:pt idx="34">
                  <c:v>28888</c:v>
                </c:pt>
                <c:pt idx="35">
                  <c:v>8512</c:v>
                </c:pt>
                <c:pt idx="36">
                  <c:v>377986</c:v>
                </c:pt>
                <c:pt idx="37">
                  <c:v>28579</c:v>
                </c:pt>
                <c:pt idx="38">
                  <c:v>21810</c:v>
                </c:pt>
                <c:pt idx="39">
                  <c:v>412132</c:v>
                </c:pt>
                <c:pt idx="40">
                  <c:v>44775</c:v>
                </c:pt>
                <c:pt idx="41">
                  <c:v>361748</c:v>
                </c:pt>
                <c:pt idx="42">
                  <c:v>544184</c:v>
                </c:pt>
                <c:pt idx="43">
                  <c:v>69488</c:v>
                </c:pt>
                <c:pt idx="44">
                  <c:v>10803</c:v>
                </c:pt>
                <c:pt idx="45">
                  <c:v>11943</c:v>
                </c:pt>
                <c:pt idx="46">
                  <c:v>26198</c:v>
                </c:pt>
                <c:pt idx="47">
                  <c:v>126450</c:v>
                </c:pt>
                <c:pt idx="48">
                  <c:v>523245</c:v>
                </c:pt>
                <c:pt idx="49">
                  <c:v>178737</c:v>
                </c:pt>
                <c:pt idx="50">
                  <c:v>32630</c:v>
                </c:pt>
                <c:pt idx="51">
                  <c:v>92812</c:v>
                </c:pt>
                <c:pt idx="52">
                  <c:v>40146</c:v>
                </c:pt>
                <c:pt idx="53">
                  <c:v>232943</c:v>
                </c:pt>
                <c:pt idx="54">
                  <c:v>134525</c:v>
                </c:pt>
                <c:pt idx="55">
                  <c:v>51104</c:v>
                </c:pt>
                <c:pt idx="56">
                  <c:v>166937</c:v>
                </c:pt>
                <c:pt idx="57">
                  <c:v>26813</c:v>
                </c:pt>
                <c:pt idx="58">
                  <c:v>547</c:v>
                </c:pt>
                <c:pt idx="59">
                  <c:v>170444</c:v>
                </c:pt>
                <c:pt idx="60">
                  <c:v>141974</c:v>
                </c:pt>
                <c:pt idx="61">
                  <c:v>49</c:v>
                </c:pt>
                <c:pt idx="62">
                  <c:v>132</c:v>
                </c:pt>
                <c:pt idx="63">
                  <c:v>317308</c:v>
                </c:pt>
                <c:pt idx="64">
                  <c:v>38596</c:v>
                </c:pt>
                <c:pt idx="65">
                  <c:v>825218</c:v>
                </c:pt>
                <c:pt idx="66">
                  <c:v>90308</c:v>
                </c:pt>
                <c:pt idx="67">
                  <c:v>46604</c:v>
                </c:pt>
                <c:pt idx="68">
                  <c:v>1304816</c:v>
                </c:pt>
                <c:pt idx="69">
                  <c:v>402282</c:v>
                </c:pt>
                <c:pt idx="70">
                  <c:v>8311</c:v>
                </c:pt>
                <c:pt idx="71">
                  <c:v>19547</c:v>
                </c:pt>
                <c:pt idx="72">
                  <c:v>109086</c:v>
                </c:pt>
                <c:pt idx="73">
                  <c:v>191625</c:v>
                </c:pt>
                <c:pt idx="74">
                  <c:v>502147</c:v>
                </c:pt>
                <c:pt idx="75">
                  <c:v>36488</c:v>
                </c:pt>
                <c:pt idx="76">
                  <c:v>131425</c:v>
                </c:pt>
                <c:pt idx="77">
                  <c:v>231626</c:v>
                </c:pt>
                <c:pt idx="78">
                  <c:v>459645</c:v>
                </c:pt>
                <c:pt idx="79">
                  <c:v>71441</c:v>
                </c:pt>
                <c:pt idx="80">
                  <c:v>1034</c:v>
                </c:pt>
                <c:pt idx="81">
                  <c:v>247864</c:v>
                </c:pt>
                <c:pt idx="82">
                  <c:v>53617</c:v>
                </c:pt>
                <c:pt idx="83">
                  <c:v>12317</c:v>
                </c:pt>
                <c:pt idx="84">
                  <c:v>106354</c:v>
                </c:pt>
                <c:pt idx="85">
                  <c:v>332283</c:v>
                </c:pt>
                <c:pt idx="86">
                  <c:v>332760</c:v>
                </c:pt>
                <c:pt idx="87">
                  <c:v>7902</c:v>
                </c:pt>
                <c:pt idx="88">
                  <c:v>270389</c:v>
                </c:pt>
                <c:pt idx="89">
                  <c:v>10195</c:v>
                </c:pt>
                <c:pt idx="90">
                  <c:v>1645</c:v>
                </c:pt>
                <c:pt idx="91">
                  <c:v>2604</c:v>
                </c:pt>
                <c:pt idx="92">
                  <c:v>1562803</c:v>
                </c:pt>
                <c:pt idx="93">
                  <c:v>140694</c:v>
                </c:pt>
                <c:pt idx="94">
                  <c:v>7332</c:v>
                </c:pt>
                <c:pt idx="95">
                  <c:v>1371899</c:v>
                </c:pt>
                <c:pt idx="96">
                  <c:v>98360</c:v>
                </c:pt>
                <c:pt idx="97">
                  <c:v>24522</c:v>
                </c:pt>
                <c:pt idx="98">
                  <c:v>18283</c:v>
                </c:pt>
                <c:pt idx="99">
                  <c:v>3125</c:v>
                </c:pt>
                <c:pt idx="100">
                  <c:v>280800</c:v>
                </c:pt>
                <c:pt idx="101">
                  <c:v>2171302</c:v>
                </c:pt>
                <c:pt idx="102">
                  <c:v>17257</c:v>
                </c:pt>
                <c:pt idx="103">
                  <c:v>5023</c:v>
                </c:pt>
                <c:pt idx="104">
                  <c:v>48248</c:v>
                </c:pt>
                <c:pt idx="105">
                  <c:v>16191</c:v>
                </c:pt>
                <c:pt idx="106">
                  <c:v>464</c:v>
                </c:pt>
                <c:pt idx="107">
                  <c:v>1736</c:v>
                </c:pt>
                <c:pt idx="108">
                  <c:v>519342</c:v>
                </c:pt>
                <c:pt idx="109">
                  <c:v>7490</c:v>
                </c:pt>
                <c:pt idx="110">
                  <c:v>51284</c:v>
                </c:pt>
                <c:pt idx="111">
                  <c:v>105777</c:v>
                </c:pt>
                <c:pt idx="112">
                  <c:v>20495</c:v>
                </c:pt>
                <c:pt idx="113">
                  <c:v>745342</c:v>
                </c:pt>
                <c:pt idx="114">
                  <c:v>484144</c:v>
                </c:pt>
                <c:pt idx="115">
                  <c:v>43947</c:v>
                </c:pt>
                <c:pt idx="116">
                  <c:v>57143</c:v>
                </c:pt>
                <c:pt idx="117">
                  <c:v>393483</c:v>
                </c:pt>
                <c:pt idx="118">
                  <c:v>293273</c:v>
                </c:pt>
                <c:pt idx="119">
                  <c:v>130885</c:v>
                </c:pt>
                <c:pt idx="120">
                  <c:v>18928</c:v>
                </c:pt>
                <c:pt idx="121">
                  <c:v>16429</c:v>
                </c:pt>
                <c:pt idx="122">
                  <c:v>134778</c:v>
                </c:pt>
                <c:pt idx="123">
                  <c:v>84979</c:v>
                </c:pt>
                <c:pt idx="124">
                  <c:v>299477</c:v>
                </c:pt>
                <c:pt idx="125">
                  <c:v>26063</c:v>
                </c:pt>
                <c:pt idx="126">
                  <c:v>133005</c:v>
                </c:pt>
                <c:pt idx="127">
                  <c:v>130902</c:v>
                </c:pt>
                <c:pt idx="128">
                  <c:v>6974</c:v>
                </c:pt>
                <c:pt idx="129">
                  <c:v>3427</c:v>
                </c:pt>
                <c:pt idx="130">
                  <c:v>8803</c:v>
                </c:pt>
                <c:pt idx="131">
                  <c:v>41265</c:v>
                </c:pt>
                <c:pt idx="132">
                  <c:v>37886</c:v>
                </c:pt>
                <c:pt idx="133">
                  <c:v>28302</c:v>
                </c:pt>
                <c:pt idx="134">
                  <c:v>1851</c:v>
                </c:pt>
                <c:pt idx="135">
                  <c:v>23639</c:v>
                </c:pt>
                <c:pt idx="136">
                  <c:v>313032</c:v>
                </c:pt>
                <c:pt idx="137">
                  <c:v>7008</c:v>
                </c:pt>
                <c:pt idx="138">
                  <c:v>9344</c:v>
                </c:pt>
                <c:pt idx="139">
                  <c:v>462896</c:v>
                </c:pt>
                <c:pt idx="140">
                  <c:v>608768</c:v>
                </c:pt>
                <c:pt idx="141">
                  <c:v>79946</c:v>
                </c:pt>
                <c:pt idx="142">
                  <c:v>34552</c:v>
                </c:pt>
                <c:pt idx="143">
                  <c:v>298860</c:v>
                </c:pt>
                <c:pt idx="144">
                  <c:v>141800</c:v>
                </c:pt>
                <c:pt idx="145">
                  <c:v>823298</c:v>
                </c:pt>
                <c:pt idx="146">
                  <c:v>7209</c:v>
                </c:pt>
                <c:pt idx="147">
                  <c:v>287188</c:v>
                </c:pt>
                <c:pt idx="148">
                  <c:v>600900</c:v>
                </c:pt>
                <c:pt idx="149">
                  <c:v>218701</c:v>
                </c:pt>
                <c:pt idx="150">
                  <c:v>336958</c:v>
                </c:pt>
                <c:pt idx="151">
                  <c:v>94319</c:v>
                </c:pt>
                <c:pt idx="152">
                  <c:v>4154</c:v>
                </c:pt>
                <c:pt idx="153">
                  <c:v>99428</c:v>
                </c:pt>
                <c:pt idx="154">
                  <c:v>63437</c:v>
                </c:pt>
                <c:pt idx="155">
                  <c:v>17</c:v>
                </c:pt>
                <c:pt idx="156">
                  <c:v>29516</c:v>
                </c:pt>
                <c:pt idx="157">
                  <c:v>94956</c:v>
                </c:pt>
                <c:pt idx="158">
                  <c:v>30948</c:v>
                </c:pt>
                <c:pt idx="159">
                  <c:v>718944</c:v>
                </c:pt>
                <c:pt idx="160">
                  <c:v>6891</c:v>
                </c:pt>
                <c:pt idx="161">
                  <c:v>155891</c:v>
                </c:pt>
                <c:pt idx="162">
                  <c:v>134506</c:v>
                </c:pt>
                <c:pt idx="163">
                  <c:v>21674</c:v>
                </c:pt>
                <c:pt idx="164">
                  <c:v>150175</c:v>
                </c:pt>
                <c:pt idx="165">
                  <c:v>18585</c:v>
                </c:pt>
                <c:pt idx="166">
                  <c:v>5444</c:v>
                </c:pt>
                <c:pt idx="167">
                  <c:v>291026</c:v>
                </c:pt>
                <c:pt idx="168">
                  <c:v>41321</c:v>
                </c:pt>
                <c:pt idx="169">
                  <c:v>29411</c:v>
                </c:pt>
                <c:pt idx="170">
                  <c:v>8445</c:v>
                </c:pt>
                <c:pt idx="171">
                  <c:v>909311</c:v>
                </c:pt>
                <c:pt idx="172">
                  <c:v>315410</c:v>
                </c:pt>
                <c:pt idx="173">
                  <c:v>48425</c:v>
                </c:pt>
                <c:pt idx="174">
                  <c:v>32142</c:v>
                </c:pt>
                <c:pt idx="175">
                  <c:v>41161</c:v>
                </c:pt>
                <c:pt idx="176">
                  <c:v>11799</c:v>
                </c:pt>
                <c:pt idx="177">
                  <c:v>1654</c:v>
                </c:pt>
                <c:pt idx="178">
                  <c:v>70328</c:v>
                </c:pt>
                <c:pt idx="179">
                  <c:v>109626</c:v>
                </c:pt>
                <c:pt idx="180">
                  <c:v>151</c:v>
                </c:pt>
                <c:pt idx="181">
                  <c:v>103292</c:v>
                </c:pt>
                <c:pt idx="182">
                  <c:v>114848</c:v>
                </c:pt>
                <c:pt idx="183">
                  <c:v>35585</c:v>
                </c:pt>
                <c:pt idx="184">
                  <c:v>263437</c:v>
                </c:pt>
                <c:pt idx="185">
                  <c:v>55836</c:v>
                </c:pt>
                <c:pt idx="186">
                  <c:v>7931</c:v>
                </c:pt>
                <c:pt idx="187">
                  <c:v>12129</c:v>
                </c:pt>
                <c:pt idx="188">
                  <c:v>108697</c:v>
                </c:pt>
                <c:pt idx="189">
                  <c:v>71140</c:v>
                </c:pt>
                <c:pt idx="190">
                  <c:v>582736</c:v>
                </c:pt>
                <c:pt idx="191">
                  <c:v>670</c:v>
                </c:pt>
                <c:pt idx="192">
                  <c:v>123760</c:v>
                </c:pt>
                <c:pt idx="193">
                  <c:v>764393</c:v>
                </c:pt>
                <c:pt idx="194">
                  <c:v>18620</c:v>
                </c:pt>
                <c:pt idx="195">
                  <c:v>1062117</c:v>
                </c:pt>
                <c:pt idx="196">
                  <c:v>396083</c:v>
                </c:pt>
                <c:pt idx="197">
                  <c:v>13001</c:v>
                </c:pt>
                <c:pt idx="198">
                  <c:v>40535</c:v>
                </c:pt>
                <c:pt idx="199">
                  <c:v>77497</c:v>
                </c:pt>
                <c:pt idx="200">
                  <c:v>7628</c:v>
                </c:pt>
                <c:pt idx="201">
                  <c:v>143051</c:v>
                </c:pt>
                <c:pt idx="202">
                  <c:v>2873278</c:v>
                </c:pt>
                <c:pt idx="203">
                  <c:v>90758</c:v>
                </c:pt>
                <c:pt idx="204">
                  <c:v>1108083</c:v>
                </c:pt>
                <c:pt idx="205">
                  <c:v>888</c:v>
                </c:pt>
                <c:pt idx="206">
                  <c:v>36037</c:v>
                </c:pt>
                <c:pt idx="207">
                  <c:v>1208875</c:v>
                </c:pt>
                <c:pt idx="208">
                  <c:v>79</c:v>
                </c:pt>
                <c:pt idx="209">
                  <c:v>1026686</c:v>
                </c:pt>
                <c:pt idx="210">
                  <c:v>21436</c:v>
                </c:pt>
                <c:pt idx="211">
                  <c:v>34249</c:v>
                </c:pt>
                <c:pt idx="212">
                  <c:v>172</c:v>
                </c:pt>
                <c:pt idx="213">
                  <c:v>180886</c:v>
                </c:pt>
                <c:pt idx="214">
                  <c:v>25482</c:v>
                </c:pt>
                <c:pt idx="215">
                  <c:v>16153</c:v>
                </c:pt>
                <c:pt idx="216">
                  <c:v>102018</c:v>
                </c:pt>
                <c:pt idx="217">
                  <c:v>23473</c:v>
                </c:pt>
                <c:pt idx="218">
                  <c:v>108451</c:v>
                </c:pt>
                <c:pt idx="219">
                  <c:v>47458</c:v>
                </c:pt>
                <c:pt idx="220">
                  <c:v>55166</c:v>
                </c:pt>
                <c:pt idx="221">
                  <c:v>222573</c:v>
                </c:pt>
                <c:pt idx="222">
                  <c:v>492068</c:v>
                </c:pt>
                <c:pt idx="223">
                  <c:v>565235</c:v>
                </c:pt>
                <c:pt idx="224">
                  <c:v>52937</c:v>
                </c:pt>
                <c:pt idx="225">
                  <c:v>318</c:v>
                </c:pt>
                <c:pt idx="226">
                  <c:v>272999</c:v>
                </c:pt>
                <c:pt idx="227">
                  <c:v>697701</c:v>
                </c:pt>
                <c:pt idx="228">
                  <c:v>473137</c:v>
                </c:pt>
                <c:pt idx="229">
                  <c:v>69009</c:v>
                </c:pt>
                <c:pt idx="230">
                  <c:v>14141</c:v>
                </c:pt>
                <c:pt idx="231">
                  <c:v>527752</c:v>
                </c:pt>
                <c:pt idx="232">
                  <c:v>2093088</c:v>
                </c:pt>
                <c:pt idx="233">
                  <c:v>1096</c:v>
                </c:pt>
                <c:pt idx="234">
                  <c:v>82487</c:v>
                </c:pt>
                <c:pt idx="235">
                  <c:v>758</c:v>
                </c:pt>
                <c:pt idx="236">
                  <c:v>313723</c:v>
                </c:pt>
                <c:pt idx="237">
                  <c:v>34362</c:v>
                </c:pt>
                <c:pt idx="238">
                  <c:v>10487</c:v>
                </c:pt>
                <c:pt idx="239">
                  <c:v>1826</c:v>
                </c:pt>
                <c:pt idx="240">
                  <c:v>15167</c:v>
                </c:pt>
                <c:pt idx="241">
                  <c:v>45684</c:v>
                </c:pt>
                <c:pt idx="242">
                  <c:v>73475</c:v>
                </c:pt>
                <c:pt idx="243">
                  <c:v>1578</c:v>
                </c:pt>
                <c:pt idx="244">
                  <c:v>70521</c:v>
                </c:pt>
                <c:pt idx="245">
                  <c:v>3260</c:v>
                </c:pt>
                <c:pt idx="246">
                  <c:v>10468</c:v>
                </c:pt>
                <c:pt idx="247">
                  <c:v>49721</c:v>
                </c:pt>
                <c:pt idx="248">
                  <c:v>83395</c:v>
                </c:pt>
                <c:pt idx="249">
                  <c:v>111918</c:v>
                </c:pt>
                <c:pt idx="250">
                  <c:v>68419</c:v>
                </c:pt>
                <c:pt idx="251">
                  <c:v>1549315</c:v>
                </c:pt>
                <c:pt idx="252">
                  <c:v>30116</c:v>
                </c:pt>
                <c:pt idx="253">
                  <c:v>3351</c:v>
                </c:pt>
                <c:pt idx="254">
                  <c:v>93875</c:v>
                </c:pt>
                <c:pt idx="255">
                  <c:v>160521</c:v>
                </c:pt>
                <c:pt idx="256">
                  <c:v>385976</c:v>
                </c:pt>
                <c:pt idx="257">
                  <c:v>220602</c:v>
                </c:pt>
                <c:pt idx="258">
                  <c:v>260751</c:v>
                </c:pt>
                <c:pt idx="259">
                  <c:v>129503</c:v>
                </c:pt>
                <c:pt idx="260">
                  <c:v>1041766</c:v>
                </c:pt>
                <c:pt idx="261">
                  <c:v>61286</c:v>
                </c:pt>
                <c:pt idx="262">
                  <c:v>208991</c:v>
                </c:pt>
                <c:pt idx="263">
                  <c:v>69834</c:v>
                </c:pt>
                <c:pt idx="264">
                  <c:v>22707</c:v>
                </c:pt>
                <c:pt idx="265">
                  <c:v>237152</c:v>
                </c:pt>
                <c:pt idx="266">
                  <c:v>53219</c:v>
                </c:pt>
                <c:pt idx="267">
                  <c:v>58685</c:v>
                </c:pt>
                <c:pt idx="268">
                  <c:v>149372</c:v>
                </c:pt>
                <c:pt idx="269">
                  <c:v>97554</c:v>
                </c:pt>
                <c:pt idx="270">
                  <c:v>439030</c:v>
                </c:pt>
                <c:pt idx="271">
                  <c:v>14412</c:v>
                </c:pt>
                <c:pt idx="272">
                  <c:v>27240</c:v>
                </c:pt>
                <c:pt idx="273">
                  <c:v>190598</c:v>
                </c:pt>
                <c:pt idx="274">
                  <c:v>1303468</c:v>
                </c:pt>
                <c:pt idx="275">
                  <c:v>271704</c:v>
                </c:pt>
                <c:pt idx="276">
                  <c:v>29534</c:v>
                </c:pt>
                <c:pt idx="277">
                  <c:v>54469</c:v>
                </c:pt>
                <c:pt idx="278">
                  <c:v>156805</c:v>
                </c:pt>
                <c:pt idx="279">
                  <c:v>65278</c:v>
                </c:pt>
                <c:pt idx="280">
                  <c:v>775159</c:v>
                </c:pt>
                <c:pt idx="281">
                  <c:v>108457</c:v>
                </c:pt>
                <c:pt idx="282">
                  <c:v>214703</c:v>
                </c:pt>
                <c:pt idx="283">
                  <c:v>67935</c:v>
                </c:pt>
                <c:pt idx="284">
                  <c:v>12502</c:v>
                </c:pt>
                <c:pt idx="285">
                  <c:v>27001</c:v>
                </c:pt>
                <c:pt idx="286">
                  <c:v>6949</c:v>
                </c:pt>
                <c:pt idx="287">
                  <c:v>174859</c:v>
                </c:pt>
                <c:pt idx="288">
                  <c:v>374017</c:v>
                </c:pt>
                <c:pt idx="289">
                  <c:v>6293</c:v>
                </c:pt>
                <c:pt idx="290">
                  <c:v>71816</c:v>
                </c:pt>
                <c:pt idx="291">
                  <c:v>26915</c:v>
                </c:pt>
                <c:pt idx="292">
                  <c:v>1573970</c:v>
                </c:pt>
                <c:pt idx="293">
                  <c:v>343430</c:v>
                </c:pt>
                <c:pt idx="294">
                  <c:v>241079</c:v>
                </c:pt>
                <c:pt idx="295">
                  <c:v>156631</c:v>
                </c:pt>
                <c:pt idx="296">
                  <c:v>765393</c:v>
                </c:pt>
                <c:pt idx="297">
                  <c:v>15180</c:v>
                </c:pt>
                <c:pt idx="298">
                  <c:v>2242932</c:v>
                </c:pt>
                <c:pt idx="299">
                  <c:v>12398</c:v>
                </c:pt>
                <c:pt idx="300">
                  <c:v>14045</c:v>
                </c:pt>
                <c:pt idx="301">
                  <c:v>17311</c:v>
                </c:pt>
                <c:pt idx="302">
                  <c:v>67377</c:v>
                </c:pt>
                <c:pt idx="303">
                  <c:v>77011</c:v>
                </c:pt>
                <c:pt idx="304">
                  <c:v>15319</c:v>
                </c:pt>
                <c:pt idx="305">
                  <c:v>198388</c:v>
                </c:pt>
                <c:pt idx="306">
                  <c:v>81023</c:v>
                </c:pt>
                <c:pt idx="307">
                  <c:v>607692</c:v>
                </c:pt>
                <c:pt idx="308">
                  <c:v>1213</c:v>
                </c:pt>
                <c:pt idx="309">
                  <c:v>11315</c:v>
                </c:pt>
                <c:pt idx="310">
                  <c:v>17498</c:v>
                </c:pt>
                <c:pt idx="311">
                  <c:v>6392</c:v>
                </c:pt>
                <c:pt idx="312">
                  <c:v>87269</c:v>
                </c:pt>
                <c:pt idx="313">
                  <c:v>20497</c:v>
                </c:pt>
                <c:pt idx="314">
                  <c:v>18788</c:v>
                </c:pt>
                <c:pt idx="315">
                  <c:v>314941</c:v>
                </c:pt>
                <c:pt idx="316">
                  <c:v>16148</c:v>
                </c:pt>
                <c:pt idx="317">
                  <c:v>46612</c:v>
                </c:pt>
                <c:pt idx="318">
                  <c:v>53233</c:v>
                </c:pt>
                <c:pt idx="319">
                  <c:v>3693174</c:v>
                </c:pt>
                <c:pt idx="320">
                  <c:v>15828</c:v>
                </c:pt>
                <c:pt idx="321">
                  <c:v>45875</c:v>
                </c:pt>
                <c:pt idx="322">
                  <c:v>231462</c:v>
                </c:pt>
                <c:pt idx="323">
                  <c:v>318837</c:v>
                </c:pt>
                <c:pt idx="324">
                  <c:v>349938</c:v>
                </c:pt>
                <c:pt idx="325">
                  <c:v>5486433</c:v>
                </c:pt>
                <c:pt idx="326">
                  <c:v>3437</c:v>
                </c:pt>
                <c:pt idx="327">
                  <c:v>988204</c:v>
                </c:pt>
                <c:pt idx="328">
                  <c:v>92</c:v>
                </c:pt>
                <c:pt idx="329">
                  <c:v>1239</c:v>
                </c:pt>
                <c:pt idx="330">
                  <c:v>61602</c:v>
                </c:pt>
                <c:pt idx="331">
                  <c:v>533620</c:v>
                </c:pt>
                <c:pt idx="332">
                  <c:v>265881</c:v>
                </c:pt>
                <c:pt idx="333">
                  <c:v>79404</c:v>
                </c:pt>
                <c:pt idx="334">
                  <c:v>5245</c:v>
                </c:pt>
                <c:pt idx="335">
                  <c:v>2253321</c:v>
                </c:pt>
                <c:pt idx="336">
                  <c:v>110547</c:v>
                </c:pt>
                <c:pt idx="337">
                  <c:v>14205</c:v>
                </c:pt>
                <c:pt idx="338">
                  <c:v>403275</c:v>
                </c:pt>
                <c:pt idx="339">
                  <c:v>11529</c:v>
                </c:pt>
                <c:pt idx="340">
                  <c:v>81004</c:v>
                </c:pt>
                <c:pt idx="341">
                  <c:v>78588</c:v>
                </c:pt>
                <c:pt idx="342">
                  <c:v>414849</c:v>
                </c:pt>
                <c:pt idx="343">
                  <c:v>317745</c:v>
                </c:pt>
                <c:pt idx="344">
                  <c:v>252332</c:v>
                </c:pt>
                <c:pt idx="345">
                  <c:v>1095039</c:v>
                </c:pt>
                <c:pt idx="346">
                  <c:v>57600</c:v>
                </c:pt>
                <c:pt idx="347">
                  <c:v>17113</c:v>
                </c:pt>
                <c:pt idx="348">
                  <c:v>12216</c:v>
                </c:pt>
                <c:pt idx="349">
                  <c:v>36391</c:v>
                </c:pt>
                <c:pt idx="350">
                  <c:v>13648</c:v>
                </c:pt>
                <c:pt idx="351">
                  <c:v>846941</c:v>
                </c:pt>
                <c:pt idx="352">
                  <c:v>60252</c:v>
                </c:pt>
                <c:pt idx="353">
                  <c:v>9729833</c:v>
                </c:pt>
                <c:pt idx="354">
                  <c:v>186024</c:v>
                </c:pt>
                <c:pt idx="355">
                  <c:v>124996</c:v>
                </c:pt>
                <c:pt idx="356">
                  <c:v>157135</c:v>
                </c:pt>
                <c:pt idx="357">
                  <c:v>4816737</c:v>
                </c:pt>
                <c:pt idx="358">
                  <c:v>59460</c:v>
                </c:pt>
                <c:pt idx="359">
                  <c:v>2214540</c:v>
                </c:pt>
                <c:pt idx="360">
                  <c:v>418</c:v>
                </c:pt>
                <c:pt idx="361">
                  <c:v>60889</c:v>
                </c:pt>
                <c:pt idx="362">
                  <c:v>176655</c:v>
                </c:pt>
                <c:pt idx="363">
                  <c:v>7950</c:v>
                </c:pt>
                <c:pt idx="364">
                  <c:v>4356</c:v>
                </c:pt>
                <c:pt idx="365">
                  <c:v>104720</c:v>
                </c:pt>
                <c:pt idx="366">
                  <c:v>1734900</c:v>
                </c:pt>
                <c:pt idx="367">
                  <c:v>697</c:v>
                </c:pt>
                <c:pt idx="368">
                  <c:v>5374972</c:v>
                </c:pt>
                <c:pt idx="369">
                  <c:v>188800</c:v>
                </c:pt>
                <c:pt idx="370">
                  <c:v>153528</c:v>
                </c:pt>
                <c:pt idx="371">
                  <c:v>416397</c:v>
                </c:pt>
                <c:pt idx="372">
                  <c:v>741</c:v>
                </c:pt>
                <c:pt idx="373">
                  <c:v>214787</c:v>
                </c:pt>
                <c:pt idx="374">
                  <c:v>14608</c:v>
                </c:pt>
                <c:pt idx="375">
                  <c:v>7190</c:v>
                </c:pt>
                <c:pt idx="376">
                  <c:v>1662813</c:v>
                </c:pt>
                <c:pt idx="377">
                  <c:v>223626</c:v>
                </c:pt>
                <c:pt idx="378">
                  <c:v>319148</c:v>
                </c:pt>
                <c:pt idx="379">
                  <c:v>316823</c:v>
                </c:pt>
                <c:pt idx="380">
                  <c:v>740092</c:v>
                </c:pt>
                <c:pt idx="381">
                  <c:v>135210</c:v>
                </c:pt>
                <c:pt idx="382">
                  <c:v>38578</c:v>
                </c:pt>
                <c:pt idx="383">
                  <c:v>888389</c:v>
                </c:pt>
                <c:pt idx="384">
                  <c:v>2097170</c:v>
                </c:pt>
                <c:pt idx="385">
                  <c:v>268663</c:v>
                </c:pt>
                <c:pt idx="386">
                  <c:v>201910</c:v>
                </c:pt>
                <c:pt idx="387">
                  <c:v>64820</c:v>
                </c:pt>
                <c:pt idx="388">
                  <c:v>18301</c:v>
                </c:pt>
                <c:pt idx="389">
                  <c:v>177250</c:v>
                </c:pt>
                <c:pt idx="390">
                  <c:v>62102</c:v>
                </c:pt>
                <c:pt idx="391">
                  <c:v>431027</c:v>
                </c:pt>
                <c:pt idx="392">
                  <c:v>48288</c:v>
                </c:pt>
                <c:pt idx="393">
                  <c:v>6507</c:v>
                </c:pt>
                <c:pt idx="394">
                  <c:v>8990</c:v>
                </c:pt>
                <c:pt idx="395">
                  <c:v>783</c:v>
                </c:pt>
                <c:pt idx="396">
                  <c:v>2643542</c:v>
                </c:pt>
                <c:pt idx="397">
                  <c:v>188808</c:v>
                </c:pt>
                <c:pt idx="398">
                  <c:v>27727</c:v>
                </c:pt>
              </c:numCache>
            </c:numRef>
          </c:xVal>
          <c:yVal>
            <c:numRef>
              <c:f>TRAIN_MASS!$B$2:$B$400</c:f>
              <c:numCache>
                <c:formatCode>General</c:formatCode>
                <c:ptCount val="399"/>
                <c:pt idx="0">
                  <c:v>1060</c:v>
                </c:pt>
                <c:pt idx="1">
                  <c:v>691</c:v>
                </c:pt>
                <c:pt idx="2">
                  <c:v>589</c:v>
                </c:pt>
                <c:pt idx="3">
                  <c:v>692</c:v>
                </c:pt>
                <c:pt idx="4">
                  <c:v>741</c:v>
                </c:pt>
                <c:pt idx="5">
                  <c:v>684</c:v>
                </c:pt>
                <c:pt idx="6">
                  <c:v>1046</c:v>
                </c:pt>
                <c:pt idx="7">
                  <c:v>624</c:v>
                </c:pt>
                <c:pt idx="8">
                  <c:v>812</c:v>
                </c:pt>
                <c:pt idx="9">
                  <c:v>816</c:v>
                </c:pt>
                <c:pt idx="10">
                  <c:v>1460</c:v>
                </c:pt>
                <c:pt idx="11">
                  <c:v>772</c:v>
                </c:pt>
                <c:pt idx="12">
                  <c:v>1541</c:v>
                </c:pt>
                <c:pt idx="13">
                  <c:v>493</c:v>
                </c:pt>
                <c:pt idx="14">
                  <c:v>644</c:v>
                </c:pt>
                <c:pt idx="15">
                  <c:v>1738</c:v>
                </c:pt>
                <c:pt idx="16">
                  <c:v>618</c:v>
                </c:pt>
                <c:pt idx="17">
                  <c:v>1415</c:v>
                </c:pt>
                <c:pt idx="18">
                  <c:v>753</c:v>
                </c:pt>
                <c:pt idx="19">
                  <c:v>1212</c:v>
                </c:pt>
                <c:pt idx="20">
                  <c:v>578</c:v>
                </c:pt>
                <c:pt idx="21">
                  <c:v>777</c:v>
                </c:pt>
                <c:pt idx="22">
                  <c:v>1732</c:v>
                </c:pt>
                <c:pt idx="23">
                  <c:v>664</c:v>
                </c:pt>
                <c:pt idx="24">
                  <c:v>858</c:v>
                </c:pt>
                <c:pt idx="25">
                  <c:v>1092</c:v>
                </c:pt>
                <c:pt idx="26">
                  <c:v>749</c:v>
                </c:pt>
                <c:pt idx="27">
                  <c:v>1136</c:v>
                </c:pt>
                <c:pt idx="28">
                  <c:v>1097</c:v>
                </c:pt>
                <c:pt idx="29">
                  <c:v>926</c:v>
                </c:pt>
                <c:pt idx="30">
                  <c:v>890</c:v>
                </c:pt>
                <c:pt idx="31">
                  <c:v>500</c:v>
                </c:pt>
                <c:pt idx="32">
                  <c:v>908</c:v>
                </c:pt>
                <c:pt idx="33">
                  <c:v>636</c:v>
                </c:pt>
                <c:pt idx="34">
                  <c:v>606</c:v>
                </c:pt>
                <c:pt idx="35">
                  <c:v>919</c:v>
                </c:pt>
                <c:pt idx="36">
                  <c:v>1240</c:v>
                </c:pt>
                <c:pt idx="37">
                  <c:v>518</c:v>
                </c:pt>
                <c:pt idx="38">
                  <c:v>760</c:v>
                </c:pt>
                <c:pt idx="39">
                  <c:v>1051</c:v>
                </c:pt>
                <c:pt idx="40">
                  <c:v>881</c:v>
                </c:pt>
                <c:pt idx="41">
                  <c:v>1307</c:v>
                </c:pt>
                <c:pt idx="42">
                  <c:v>1005</c:v>
                </c:pt>
                <c:pt idx="43">
                  <c:v>666</c:v>
                </c:pt>
                <c:pt idx="44">
                  <c:v>777</c:v>
                </c:pt>
                <c:pt idx="45">
                  <c:v>533</c:v>
                </c:pt>
                <c:pt idx="46">
                  <c:v>581</c:v>
                </c:pt>
                <c:pt idx="47">
                  <c:v>1022</c:v>
                </c:pt>
                <c:pt idx="48">
                  <c:v>1364</c:v>
                </c:pt>
                <c:pt idx="49">
                  <c:v>934</c:v>
                </c:pt>
                <c:pt idx="50">
                  <c:v>474</c:v>
                </c:pt>
                <c:pt idx="51">
                  <c:v>853</c:v>
                </c:pt>
                <c:pt idx="52">
                  <c:v>706</c:v>
                </c:pt>
                <c:pt idx="53">
                  <c:v>1464</c:v>
                </c:pt>
                <c:pt idx="54">
                  <c:v>869</c:v>
                </c:pt>
                <c:pt idx="55">
                  <c:v>1195</c:v>
                </c:pt>
                <c:pt idx="56">
                  <c:v>776</c:v>
                </c:pt>
                <c:pt idx="57">
                  <c:v>1003</c:v>
                </c:pt>
                <c:pt idx="58">
                  <c:v>789</c:v>
                </c:pt>
                <c:pt idx="59">
                  <c:v>835</c:v>
                </c:pt>
                <c:pt idx="60">
                  <c:v>920</c:v>
                </c:pt>
                <c:pt idx="61">
                  <c:v>494</c:v>
                </c:pt>
                <c:pt idx="62">
                  <c:v>289</c:v>
                </c:pt>
                <c:pt idx="63">
                  <c:v>1000</c:v>
                </c:pt>
                <c:pt idx="64">
                  <c:v>274</c:v>
                </c:pt>
                <c:pt idx="65">
                  <c:v>1430</c:v>
                </c:pt>
                <c:pt idx="66">
                  <c:v>687</c:v>
                </c:pt>
                <c:pt idx="67">
                  <c:v>747</c:v>
                </c:pt>
                <c:pt idx="68">
                  <c:v>1504</c:v>
                </c:pt>
                <c:pt idx="69">
                  <c:v>1374</c:v>
                </c:pt>
                <c:pt idx="70">
                  <c:v>683</c:v>
                </c:pt>
                <c:pt idx="71">
                  <c:v>237</c:v>
                </c:pt>
                <c:pt idx="72">
                  <c:v>1353</c:v>
                </c:pt>
                <c:pt idx="73">
                  <c:v>1142</c:v>
                </c:pt>
                <c:pt idx="74">
                  <c:v>1391</c:v>
                </c:pt>
                <c:pt idx="75">
                  <c:v>756</c:v>
                </c:pt>
                <c:pt idx="76">
                  <c:v>1104</c:v>
                </c:pt>
                <c:pt idx="77">
                  <c:v>1076</c:v>
                </c:pt>
                <c:pt idx="78">
                  <c:v>1013</c:v>
                </c:pt>
                <c:pt idx="79">
                  <c:v>430</c:v>
                </c:pt>
                <c:pt idx="80">
                  <c:v>474</c:v>
                </c:pt>
                <c:pt idx="81">
                  <c:v>1249</c:v>
                </c:pt>
                <c:pt idx="82">
                  <c:v>923</c:v>
                </c:pt>
                <c:pt idx="83">
                  <c:v>766</c:v>
                </c:pt>
                <c:pt idx="84">
                  <c:v>1340</c:v>
                </c:pt>
                <c:pt idx="85">
                  <c:v>1302</c:v>
                </c:pt>
                <c:pt idx="86">
                  <c:v>1212</c:v>
                </c:pt>
                <c:pt idx="87">
                  <c:v>717</c:v>
                </c:pt>
                <c:pt idx="88">
                  <c:v>1155</c:v>
                </c:pt>
                <c:pt idx="89">
                  <c:v>618</c:v>
                </c:pt>
                <c:pt idx="90">
                  <c:v>551</c:v>
                </c:pt>
                <c:pt idx="91">
                  <c:v>553</c:v>
                </c:pt>
                <c:pt idx="92">
                  <c:v>968</c:v>
                </c:pt>
                <c:pt idx="93">
                  <c:v>996</c:v>
                </c:pt>
                <c:pt idx="94">
                  <c:v>819</c:v>
                </c:pt>
                <c:pt idx="95">
                  <c:v>1127</c:v>
                </c:pt>
                <c:pt idx="96">
                  <c:v>858</c:v>
                </c:pt>
                <c:pt idx="97">
                  <c:v>786</c:v>
                </c:pt>
                <c:pt idx="98">
                  <c:v>899</c:v>
                </c:pt>
                <c:pt idx="99">
                  <c:v>526</c:v>
                </c:pt>
                <c:pt idx="100">
                  <c:v>1104</c:v>
                </c:pt>
                <c:pt idx="101">
                  <c:v>1347</c:v>
                </c:pt>
                <c:pt idx="102">
                  <c:v>815</c:v>
                </c:pt>
                <c:pt idx="103">
                  <c:v>1113</c:v>
                </c:pt>
                <c:pt idx="104">
                  <c:v>1427</c:v>
                </c:pt>
                <c:pt idx="105">
                  <c:v>743</c:v>
                </c:pt>
                <c:pt idx="106">
                  <c:v>724</c:v>
                </c:pt>
                <c:pt idx="107">
                  <c:v>344</c:v>
                </c:pt>
                <c:pt idx="108">
                  <c:v>1089</c:v>
                </c:pt>
                <c:pt idx="109">
                  <c:v>839</c:v>
                </c:pt>
                <c:pt idx="110">
                  <c:v>200</c:v>
                </c:pt>
                <c:pt idx="111">
                  <c:v>837</c:v>
                </c:pt>
                <c:pt idx="112">
                  <c:v>790</c:v>
                </c:pt>
                <c:pt idx="113">
                  <c:v>1083</c:v>
                </c:pt>
                <c:pt idx="114">
                  <c:v>705</c:v>
                </c:pt>
                <c:pt idx="115">
                  <c:v>794</c:v>
                </c:pt>
                <c:pt idx="116">
                  <c:v>865</c:v>
                </c:pt>
                <c:pt idx="117">
                  <c:v>848</c:v>
                </c:pt>
                <c:pt idx="118">
                  <c:v>1370</c:v>
                </c:pt>
                <c:pt idx="119">
                  <c:v>969</c:v>
                </c:pt>
                <c:pt idx="120">
                  <c:v>637</c:v>
                </c:pt>
                <c:pt idx="121">
                  <c:v>557</c:v>
                </c:pt>
                <c:pt idx="122">
                  <c:v>921</c:v>
                </c:pt>
                <c:pt idx="123">
                  <c:v>582</c:v>
                </c:pt>
                <c:pt idx="124">
                  <c:v>1132</c:v>
                </c:pt>
                <c:pt idx="125">
                  <c:v>1079</c:v>
                </c:pt>
                <c:pt idx="126">
                  <c:v>1249</c:v>
                </c:pt>
                <c:pt idx="127">
                  <c:v>1051</c:v>
                </c:pt>
                <c:pt idx="128">
                  <c:v>257</c:v>
                </c:pt>
                <c:pt idx="129">
                  <c:v>334</c:v>
                </c:pt>
                <c:pt idx="130">
                  <c:v>621</c:v>
                </c:pt>
                <c:pt idx="131">
                  <c:v>838</c:v>
                </c:pt>
                <c:pt idx="132">
                  <c:v>423</c:v>
                </c:pt>
                <c:pt idx="133">
                  <c:v>656</c:v>
                </c:pt>
                <c:pt idx="134">
                  <c:v>370</c:v>
                </c:pt>
                <c:pt idx="135">
                  <c:v>864</c:v>
                </c:pt>
                <c:pt idx="136">
                  <c:v>1070</c:v>
                </c:pt>
                <c:pt idx="137">
                  <c:v>827</c:v>
                </c:pt>
                <c:pt idx="138">
                  <c:v>799</c:v>
                </c:pt>
                <c:pt idx="139">
                  <c:v>1113</c:v>
                </c:pt>
                <c:pt idx="140">
                  <c:v>820</c:v>
                </c:pt>
                <c:pt idx="141">
                  <c:v>564</c:v>
                </c:pt>
                <c:pt idx="142">
                  <c:v>632</c:v>
                </c:pt>
                <c:pt idx="143">
                  <c:v>1311</c:v>
                </c:pt>
                <c:pt idx="144">
                  <c:v>690</c:v>
                </c:pt>
                <c:pt idx="145">
                  <c:v>1510</c:v>
                </c:pt>
                <c:pt idx="146">
                  <c:v>722</c:v>
                </c:pt>
                <c:pt idx="147">
                  <c:v>728</c:v>
                </c:pt>
                <c:pt idx="148">
                  <c:v>1111</c:v>
                </c:pt>
                <c:pt idx="149">
                  <c:v>865</c:v>
                </c:pt>
                <c:pt idx="150">
                  <c:v>1261</c:v>
                </c:pt>
                <c:pt idx="151">
                  <c:v>692</c:v>
                </c:pt>
                <c:pt idx="152">
                  <c:v>279</c:v>
                </c:pt>
                <c:pt idx="153">
                  <c:v>1446</c:v>
                </c:pt>
                <c:pt idx="154">
                  <c:v>469</c:v>
                </c:pt>
                <c:pt idx="155">
                  <c:v>351</c:v>
                </c:pt>
                <c:pt idx="156">
                  <c:v>276</c:v>
                </c:pt>
                <c:pt idx="157">
                  <c:v>1042</c:v>
                </c:pt>
                <c:pt idx="158">
                  <c:v>496</c:v>
                </c:pt>
                <c:pt idx="159">
                  <c:v>1171</c:v>
                </c:pt>
                <c:pt idx="160">
                  <c:v>453</c:v>
                </c:pt>
                <c:pt idx="161">
                  <c:v>648</c:v>
                </c:pt>
                <c:pt idx="162">
                  <c:v>1088</c:v>
                </c:pt>
                <c:pt idx="163">
                  <c:v>789</c:v>
                </c:pt>
                <c:pt idx="164">
                  <c:v>1123</c:v>
                </c:pt>
                <c:pt idx="165">
                  <c:v>1064</c:v>
                </c:pt>
                <c:pt idx="166">
                  <c:v>744</c:v>
                </c:pt>
                <c:pt idx="167">
                  <c:v>1296</c:v>
                </c:pt>
                <c:pt idx="168">
                  <c:v>753</c:v>
                </c:pt>
                <c:pt idx="169">
                  <c:v>774</c:v>
                </c:pt>
                <c:pt idx="170">
                  <c:v>623</c:v>
                </c:pt>
                <c:pt idx="171">
                  <c:v>1368</c:v>
                </c:pt>
                <c:pt idx="172">
                  <c:v>1433</c:v>
                </c:pt>
                <c:pt idx="173">
                  <c:v>562</c:v>
                </c:pt>
                <c:pt idx="174">
                  <c:v>911</c:v>
                </c:pt>
                <c:pt idx="175">
                  <c:v>931</c:v>
                </c:pt>
                <c:pt idx="176">
                  <c:v>283</c:v>
                </c:pt>
                <c:pt idx="177">
                  <c:v>672</c:v>
                </c:pt>
                <c:pt idx="178">
                  <c:v>380</c:v>
                </c:pt>
                <c:pt idx="179">
                  <c:v>1137</c:v>
                </c:pt>
                <c:pt idx="180">
                  <c:v>913</c:v>
                </c:pt>
                <c:pt idx="181">
                  <c:v>946</c:v>
                </c:pt>
                <c:pt idx="182">
                  <c:v>929</c:v>
                </c:pt>
                <c:pt idx="183">
                  <c:v>441</c:v>
                </c:pt>
                <c:pt idx="184">
                  <c:v>1099</c:v>
                </c:pt>
                <c:pt idx="185">
                  <c:v>359</c:v>
                </c:pt>
                <c:pt idx="186">
                  <c:v>1086</c:v>
                </c:pt>
                <c:pt idx="187">
                  <c:v>316</c:v>
                </c:pt>
                <c:pt idx="188">
                  <c:v>891</c:v>
                </c:pt>
                <c:pt idx="189">
                  <c:v>810</c:v>
                </c:pt>
                <c:pt idx="190">
                  <c:v>1639</c:v>
                </c:pt>
                <c:pt idx="191">
                  <c:v>577</c:v>
                </c:pt>
                <c:pt idx="192">
                  <c:v>922</c:v>
                </c:pt>
                <c:pt idx="193">
                  <c:v>944</c:v>
                </c:pt>
                <c:pt idx="194">
                  <c:v>827</c:v>
                </c:pt>
                <c:pt idx="195">
                  <c:v>1162</c:v>
                </c:pt>
                <c:pt idx="196">
                  <c:v>1007</c:v>
                </c:pt>
                <c:pt idx="197">
                  <c:v>723</c:v>
                </c:pt>
                <c:pt idx="198">
                  <c:v>356</c:v>
                </c:pt>
                <c:pt idx="199">
                  <c:v>886</c:v>
                </c:pt>
                <c:pt idx="200">
                  <c:v>727</c:v>
                </c:pt>
                <c:pt idx="201">
                  <c:v>851</c:v>
                </c:pt>
                <c:pt idx="202">
                  <c:v>1629</c:v>
                </c:pt>
                <c:pt idx="203">
                  <c:v>335</c:v>
                </c:pt>
                <c:pt idx="204">
                  <c:v>1139</c:v>
                </c:pt>
                <c:pt idx="205">
                  <c:v>384</c:v>
                </c:pt>
                <c:pt idx="206">
                  <c:v>961</c:v>
                </c:pt>
                <c:pt idx="207">
                  <c:v>1306</c:v>
                </c:pt>
                <c:pt idx="208">
                  <c:v>967</c:v>
                </c:pt>
                <c:pt idx="209">
                  <c:v>1200</c:v>
                </c:pt>
                <c:pt idx="210">
                  <c:v>920</c:v>
                </c:pt>
                <c:pt idx="211">
                  <c:v>894</c:v>
                </c:pt>
                <c:pt idx="212">
                  <c:v>496</c:v>
                </c:pt>
                <c:pt idx="213">
                  <c:v>975</c:v>
                </c:pt>
                <c:pt idx="214">
                  <c:v>946</c:v>
                </c:pt>
                <c:pt idx="215">
                  <c:v>499</c:v>
                </c:pt>
                <c:pt idx="216">
                  <c:v>846</c:v>
                </c:pt>
                <c:pt idx="217">
                  <c:v>879</c:v>
                </c:pt>
                <c:pt idx="218">
                  <c:v>879</c:v>
                </c:pt>
                <c:pt idx="219">
                  <c:v>661</c:v>
                </c:pt>
                <c:pt idx="220">
                  <c:v>909</c:v>
                </c:pt>
                <c:pt idx="221">
                  <c:v>1194</c:v>
                </c:pt>
                <c:pt idx="222">
                  <c:v>1440</c:v>
                </c:pt>
                <c:pt idx="223">
                  <c:v>717</c:v>
                </c:pt>
                <c:pt idx="224">
                  <c:v>1066</c:v>
                </c:pt>
                <c:pt idx="225">
                  <c:v>278</c:v>
                </c:pt>
                <c:pt idx="226">
                  <c:v>806</c:v>
                </c:pt>
                <c:pt idx="227">
                  <c:v>1197</c:v>
                </c:pt>
                <c:pt idx="228">
                  <c:v>1129</c:v>
                </c:pt>
                <c:pt idx="229">
                  <c:v>764</c:v>
                </c:pt>
                <c:pt idx="230">
                  <c:v>807</c:v>
                </c:pt>
                <c:pt idx="231">
                  <c:v>1208</c:v>
                </c:pt>
                <c:pt idx="232">
                  <c:v>1332</c:v>
                </c:pt>
                <c:pt idx="233">
                  <c:v>391</c:v>
                </c:pt>
                <c:pt idx="234">
                  <c:v>914</c:v>
                </c:pt>
                <c:pt idx="235">
                  <c:v>733</c:v>
                </c:pt>
                <c:pt idx="236">
                  <c:v>991</c:v>
                </c:pt>
                <c:pt idx="237">
                  <c:v>389</c:v>
                </c:pt>
                <c:pt idx="238">
                  <c:v>933</c:v>
                </c:pt>
                <c:pt idx="239">
                  <c:v>1034</c:v>
                </c:pt>
                <c:pt idx="240">
                  <c:v>895</c:v>
                </c:pt>
                <c:pt idx="241">
                  <c:v>1157</c:v>
                </c:pt>
                <c:pt idx="242">
                  <c:v>816</c:v>
                </c:pt>
                <c:pt idx="243">
                  <c:v>290</c:v>
                </c:pt>
                <c:pt idx="244">
                  <c:v>1083</c:v>
                </c:pt>
                <c:pt idx="245">
                  <c:v>883</c:v>
                </c:pt>
                <c:pt idx="246">
                  <c:v>819</c:v>
                </c:pt>
                <c:pt idx="247">
                  <c:v>562</c:v>
                </c:pt>
                <c:pt idx="248">
                  <c:v>875</c:v>
                </c:pt>
                <c:pt idx="249">
                  <c:v>858</c:v>
                </c:pt>
                <c:pt idx="250">
                  <c:v>1231</c:v>
                </c:pt>
                <c:pt idx="251">
                  <c:v>1441</c:v>
                </c:pt>
                <c:pt idx="252">
                  <c:v>700</c:v>
                </c:pt>
                <c:pt idx="253">
                  <c:v>122</c:v>
                </c:pt>
                <c:pt idx="254">
                  <c:v>1095</c:v>
                </c:pt>
                <c:pt idx="255">
                  <c:v>706</c:v>
                </c:pt>
                <c:pt idx="256">
                  <c:v>933</c:v>
                </c:pt>
                <c:pt idx="257">
                  <c:v>1446</c:v>
                </c:pt>
                <c:pt idx="258">
                  <c:v>991</c:v>
                </c:pt>
                <c:pt idx="259">
                  <c:v>983</c:v>
                </c:pt>
                <c:pt idx="260">
                  <c:v>1003</c:v>
                </c:pt>
                <c:pt idx="261">
                  <c:v>806</c:v>
                </c:pt>
                <c:pt idx="262">
                  <c:v>922</c:v>
                </c:pt>
                <c:pt idx="263">
                  <c:v>1077</c:v>
                </c:pt>
                <c:pt idx="264">
                  <c:v>906</c:v>
                </c:pt>
                <c:pt idx="265">
                  <c:v>989</c:v>
                </c:pt>
                <c:pt idx="266">
                  <c:v>767</c:v>
                </c:pt>
                <c:pt idx="267">
                  <c:v>779</c:v>
                </c:pt>
                <c:pt idx="268">
                  <c:v>739</c:v>
                </c:pt>
                <c:pt idx="269">
                  <c:v>687</c:v>
                </c:pt>
                <c:pt idx="270">
                  <c:v>1338</c:v>
                </c:pt>
                <c:pt idx="271">
                  <c:v>476</c:v>
                </c:pt>
                <c:pt idx="272">
                  <c:v>490</c:v>
                </c:pt>
                <c:pt idx="273">
                  <c:v>651</c:v>
                </c:pt>
                <c:pt idx="274">
                  <c:v>1216</c:v>
                </c:pt>
                <c:pt idx="275">
                  <c:v>1413</c:v>
                </c:pt>
                <c:pt idx="276">
                  <c:v>610</c:v>
                </c:pt>
                <c:pt idx="277">
                  <c:v>811</c:v>
                </c:pt>
                <c:pt idx="278">
                  <c:v>701</c:v>
                </c:pt>
                <c:pt idx="279">
                  <c:v>352</c:v>
                </c:pt>
                <c:pt idx="280">
                  <c:v>527</c:v>
                </c:pt>
                <c:pt idx="281">
                  <c:v>955</c:v>
                </c:pt>
                <c:pt idx="282">
                  <c:v>947</c:v>
                </c:pt>
                <c:pt idx="283">
                  <c:v>624</c:v>
                </c:pt>
                <c:pt idx="284">
                  <c:v>628</c:v>
                </c:pt>
                <c:pt idx="285">
                  <c:v>1001</c:v>
                </c:pt>
                <c:pt idx="286">
                  <c:v>642</c:v>
                </c:pt>
                <c:pt idx="287">
                  <c:v>851</c:v>
                </c:pt>
                <c:pt idx="288">
                  <c:v>1152</c:v>
                </c:pt>
                <c:pt idx="289">
                  <c:v>451</c:v>
                </c:pt>
                <c:pt idx="290">
                  <c:v>892</c:v>
                </c:pt>
                <c:pt idx="291">
                  <c:v>738</c:v>
                </c:pt>
                <c:pt idx="292">
                  <c:v>1039</c:v>
                </c:pt>
                <c:pt idx="293">
                  <c:v>1105</c:v>
                </c:pt>
                <c:pt idx="294">
                  <c:v>1286</c:v>
                </c:pt>
                <c:pt idx="295">
                  <c:v>854</c:v>
                </c:pt>
                <c:pt idx="296">
                  <c:v>1017</c:v>
                </c:pt>
                <c:pt idx="297">
                  <c:v>558</c:v>
                </c:pt>
                <c:pt idx="298">
                  <c:v>1460</c:v>
                </c:pt>
                <c:pt idx="299">
                  <c:v>832</c:v>
                </c:pt>
                <c:pt idx="300">
                  <c:v>1055</c:v>
                </c:pt>
                <c:pt idx="301">
                  <c:v>269</c:v>
                </c:pt>
                <c:pt idx="302">
                  <c:v>1261</c:v>
                </c:pt>
                <c:pt idx="303">
                  <c:v>725</c:v>
                </c:pt>
                <c:pt idx="304">
                  <c:v>390</c:v>
                </c:pt>
                <c:pt idx="305">
                  <c:v>667</c:v>
                </c:pt>
                <c:pt idx="306">
                  <c:v>624</c:v>
                </c:pt>
                <c:pt idx="307">
                  <c:v>987</c:v>
                </c:pt>
                <c:pt idx="308">
                  <c:v>664</c:v>
                </c:pt>
                <c:pt idx="309">
                  <c:v>535</c:v>
                </c:pt>
                <c:pt idx="310">
                  <c:v>481</c:v>
                </c:pt>
                <c:pt idx="311">
                  <c:v>856</c:v>
                </c:pt>
                <c:pt idx="312">
                  <c:v>835</c:v>
                </c:pt>
                <c:pt idx="313">
                  <c:v>977</c:v>
                </c:pt>
                <c:pt idx="314">
                  <c:v>716</c:v>
                </c:pt>
                <c:pt idx="315">
                  <c:v>1383</c:v>
                </c:pt>
                <c:pt idx="316">
                  <c:v>972</c:v>
                </c:pt>
                <c:pt idx="317">
                  <c:v>710</c:v>
                </c:pt>
                <c:pt idx="318">
                  <c:v>352</c:v>
                </c:pt>
                <c:pt idx="319">
                  <c:v>1960</c:v>
                </c:pt>
                <c:pt idx="320">
                  <c:v>233</c:v>
                </c:pt>
                <c:pt idx="321">
                  <c:v>1037</c:v>
                </c:pt>
                <c:pt idx="322">
                  <c:v>1018</c:v>
                </c:pt>
                <c:pt idx="323">
                  <c:v>930</c:v>
                </c:pt>
                <c:pt idx="324">
                  <c:v>1096</c:v>
                </c:pt>
                <c:pt idx="325">
                  <c:v>2288</c:v>
                </c:pt>
                <c:pt idx="326">
                  <c:v>360</c:v>
                </c:pt>
                <c:pt idx="327">
                  <c:v>1213</c:v>
                </c:pt>
                <c:pt idx="328">
                  <c:v>100</c:v>
                </c:pt>
                <c:pt idx="329">
                  <c:v>584</c:v>
                </c:pt>
                <c:pt idx="330">
                  <c:v>1144</c:v>
                </c:pt>
                <c:pt idx="331">
                  <c:v>1126</c:v>
                </c:pt>
                <c:pt idx="332">
                  <c:v>1500</c:v>
                </c:pt>
                <c:pt idx="333">
                  <c:v>766</c:v>
                </c:pt>
                <c:pt idx="334">
                  <c:v>635</c:v>
                </c:pt>
                <c:pt idx="335">
                  <c:v>1095</c:v>
                </c:pt>
                <c:pt idx="336">
                  <c:v>1178</c:v>
                </c:pt>
                <c:pt idx="337">
                  <c:v>411</c:v>
                </c:pt>
                <c:pt idx="338">
                  <c:v>1039</c:v>
                </c:pt>
                <c:pt idx="339">
                  <c:v>286</c:v>
                </c:pt>
                <c:pt idx="340">
                  <c:v>1644</c:v>
                </c:pt>
                <c:pt idx="341">
                  <c:v>291</c:v>
                </c:pt>
                <c:pt idx="342">
                  <c:v>735</c:v>
                </c:pt>
                <c:pt idx="343">
                  <c:v>521</c:v>
                </c:pt>
                <c:pt idx="344">
                  <c:v>924</c:v>
                </c:pt>
                <c:pt idx="345">
                  <c:v>1248</c:v>
                </c:pt>
                <c:pt idx="346">
                  <c:v>696</c:v>
                </c:pt>
                <c:pt idx="347">
                  <c:v>445</c:v>
                </c:pt>
                <c:pt idx="348">
                  <c:v>717</c:v>
                </c:pt>
                <c:pt idx="349">
                  <c:v>656</c:v>
                </c:pt>
                <c:pt idx="350">
                  <c:v>1069</c:v>
                </c:pt>
                <c:pt idx="351">
                  <c:v>1492</c:v>
                </c:pt>
                <c:pt idx="352">
                  <c:v>737</c:v>
                </c:pt>
                <c:pt idx="353">
                  <c:v>2019</c:v>
                </c:pt>
                <c:pt idx="354">
                  <c:v>1348</c:v>
                </c:pt>
                <c:pt idx="355">
                  <c:v>815</c:v>
                </c:pt>
                <c:pt idx="356">
                  <c:v>1042</c:v>
                </c:pt>
                <c:pt idx="357">
                  <c:v>1782</c:v>
                </c:pt>
                <c:pt idx="358">
                  <c:v>716</c:v>
                </c:pt>
                <c:pt idx="359">
                  <c:v>2009</c:v>
                </c:pt>
                <c:pt idx="360">
                  <c:v>428</c:v>
                </c:pt>
                <c:pt idx="361">
                  <c:v>682</c:v>
                </c:pt>
                <c:pt idx="362">
                  <c:v>989</c:v>
                </c:pt>
                <c:pt idx="363">
                  <c:v>584</c:v>
                </c:pt>
                <c:pt idx="364">
                  <c:v>1026</c:v>
                </c:pt>
                <c:pt idx="365">
                  <c:v>978</c:v>
                </c:pt>
                <c:pt idx="366">
                  <c:v>1886</c:v>
                </c:pt>
                <c:pt idx="367">
                  <c:v>917</c:v>
                </c:pt>
                <c:pt idx="368">
                  <c:v>2132</c:v>
                </c:pt>
                <c:pt idx="369">
                  <c:v>903</c:v>
                </c:pt>
                <c:pt idx="370">
                  <c:v>772</c:v>
                </c:pt>
                <c:pt idx="371">
                  <c:v>711</c:v>
                </c:pt>
                <c:pt idx="372">
                  <c:v>734</c:v>
                </c:pt>
                <c:pt idx="373">
                  <c:v>988</c:v>
                </c:pt>
                <c:pt idx="374">
                  <c:v>211</c:v>
                </c:pt>
                <c:pt idx="375">
                  <c:v>577</c:v>
                </c:pt>
                <c:pt idx="376">
                  <c:v>1435</c:v>
                </c:pt>
                <c:pt idx="377">
                  <c:v>1125</c:v>
                </c:pt>
                <c:pt idx="378">
                  <c:v>499</c:v>
                </c:pt>
                <c:pt idx="379">
                  <c:v>1166</c:v>
                </c:pt>
                <c:pt idx="380">
                  <c:v>988</c:v>
                </c:pt>
                <c:pt idx="381">
                  <c:v>1336</c:v>
                </c:pt>
                <c:pt idx="382">
                  <c:v>594</c:v>
                </c:pt>
                <c:pt idx="383">
                  <c:v>1354</c:v>
                </c:pt>
                <c:pt idx="384">
                  <c:v>1458</c:v>
                </c:pt>
                <c:pt idx="385">
                  <c:v>1115</c:v>
                </c:pt>
                <c:pt idx="386">
                  <c:v>447</c:v>
                </c:pt>
                <c:pt idx="387">
                  <c:v>1312</c:v>
                </c:pt>
                <c:pt idx="388">
                  <c:v>817</c:v>
                </c:pt>
                <c:pt idx="389">
                  <c:v>344</c:v>
                </c:pt>
                <c:pt idx="390">
                  <c:v>1249</c:v>
                </c:pt>
                <c:pt idx="391">
                  <c:v>735</c:v>
                </c:pt>
                <c:pt idx="392">
                  <c:v>840</c:v>
                </c:pt>
                <c:pt idx="393">
                  <c:v>609</c:v>
                </c:pt>
                <c:pt idx="394">
                  <c:v>611</c:v>
                </c:pt>
                <c:pt idx="395">
                  <c:v>822</c:v>
                </c:pt>
                <c:pt idx="396">
                  <c:v>1400</c:v>
                </c:pt>
                <c:pt idx="397">
                  <c:v>1011</c:v>
                </c:pt>
                <c:pt idx="398">
                  <c:v>1023</c:v>
                </c:pt>
              </c:numCache>
            </c:numRef>
          </c:yVal>
          <c:smooth val="0"/>
          <c:extLst>
            <c:ext xmlns:c16="http://schemas.microsoft.com/office/drawing/2014/chart" uri="{C3380CC4-5D6E-409C-BE32-E72D297353CC}">
              <c16:uniqueId val="{00000000-BAB6-4DC6-974E-5632D031FFF4}"/>
            </c:ext>
          </c:extLst>
        </c:ser>
        <c:dLbls>
          <c:showLegendKey val="0"/>
          <c:showVal val="0"/>
          <c:showCatName val="0"/>
          <c:showSerName val="0"/>
          <c:showPercent val="0"/>
          <c:showBubbleSize val="0"/>
        </c:dLbls>
        <c:axId val="1935550304"/>
        <c:axId val="1935550784"/>
      </c:scatterChart>
      <c:valAx>
        <c:axId val="1935550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50784"/>
        <c:crosses val="autoZero"/>
        <c:crossBetween val="midCat"/>
      </c:valAx>
      <c:valAx>
        <c:axId val="193555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FHO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50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FHO vs WSP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TRAIN_MASS!$A$2:$A$400</c:f>
              <c:numCache>
                <c:formatCode>General</c:formatCode>
                <c:ptCount val="399"/>
                <c:pt idx="0">
                  <c:v>70142</c:v>
                </c:pt>
                <c:pt idx="1">
                  <c:v>9733</c:v>
                </c:pt>
                <c:pt idx="2">
                  <c:v>5195</c:v>
                </c:pt>
                <c:pt idx="3">
                  <c:v>211409</c:v>
                </c:pt>
                <c:pt idx="4">
                  <c:v>9168</c:v>
                </c:pt>
                <c:pt idx="5">
                  <c:v>16100</c:v>
                </c:pt>
                <c:pt idx="6">
                  <c:v>33723</c:v>
                </c:pt>
                <c:pt idx="7">
                  <c:v>282138</c:v>
                </c:pt>
                <c:pt idx="8">
                  <c:v>117675</c:v>
                </c:pt>
                <c:pt idx="9">
                  <c:v>8271</c:v>
                </c:pt>
                <c:pt idx="10">
                  <c:v>1072707</c:v>
                </c:pt>
                <c:pt idx="11">
                  <c:v>63440</c:v>
                </c:pt>
                <c:pt idx="12">
                  <c:v>696962</c:v>
                </c:pt>
                <c:pt idx="13">
                  <c:v>99115</c:v>
                </c:pt>
                <c:pt idx="14">
                  <c:v>7058</c:v>
                </c:pt>
                <c:pt idx="15">
                  <c:v>2592325</c:v>
                </c:pt>
                <c:pt idx="16">
                  <c:v>64414</c:v>
                </c:pt>
                <c:pt idx="17">
                  <c:v>280574</c:v>
                </c:pt>
                <c:pt idx="18">
                  <c:v>23713</c:v>
                </c:pt>
                <c:pt idx="19">
                  <c:v>841954</c:v>
                </c:pt>
                <c:pt idx="20">
                  <c:v>218775</c:v>
                </c:pt>
                <c:pt idx="21">
                  <c:v>15703</c:v>
                </c:pt>
                <c:pt idx="22">
                  <c:v>3376797</c:v>
                </c:pt>
                <c:pt idx="23">
                  <c:v>83972</c:v>
                </c:pt>
                <c:pt idx="24">
                  <c:v>119112</c:v>
                </c:pt>
                <c:pt idx="25">
                  <c:v>763740</c:v>
                </c:pt>
                <c:pt idx="26">
                  <c:v>422914</c:v>
                </c:pt>
                <c:pt idx="27">
                  <c:v>361453</c:v>
                </c:pt>
                <c:pt idx="28">
                  <c:v>27539</c:v>
                </c:pt>
                <c:pt idx="29">
                  <c:v>616930</c:v>
                </c:pt>
                <c:pt idx="30">
                  <c:v>73593</c:v>
                </c:pt>
                <c:pt idx="31">
                  <c:v>101956</c:v>
                </c:pt>
                <c:pt idx="32">
                  <c:v>2456</c:v>
                </c:pt>
                <c:pt idx="33">
                  <c:v>40923</c:v>
                </c:pt>
                <c:pt idx="34">
                  <c:v>28888</c:v>
                </c:pt>
                <c:pt idx="35">
                  <c:v>8512</c:v>
                </c:pt>
                <c:pt idx="36">
                  <c:v>377986</c:v>
                </c:pt>
                <c:pt idx="37">
                  <c:v>28579</c:v>
                </c:pt>
                <c:pt idx="38">
                  <c:v>21810</c:v>
                </c:pt>
                <c:pt idx="39">
                  <c:v>412132</c:v>
                </c:pt>
                <c:pt idx="40">
                  <c:v>44775</c:v>
                </c:pt>
                <c:pt idx="41">
                  <c:v>361748</c:v>
                </c:pt>
                <c:pt idx="42">
                  <c:v>544184</c:v>
                </c:pt>
                <c:pt idx="43">
                  <c:v>69488</c:v>
                </c:pt>
                <c:pt idx="44">
                  <c:v>10803</c:v>
                </c:pt>
                <c:pt idx="45">
                  <c:v>11943</c:v>
                </c:pt>
                <c:pt idx="46">
                  <c:v>26198</c:v>
                </c:pt>
                <c:pt idx="47">
                  <c:v>126450</c:v>
                </c:pt>
                <c:pt idx="48">
                  <c:v>523245</c:v>
                </c:pt>
                <c:pt idx="49">
                  <c:v>178737</c:v>
                </c:pt>
                <c:pt idx="50">
                  <c:v>32630</c:v>
                </c:pt>
                <c:pt idx="51">
                  <c:v>92812</c:v>
                </c:pt>
                <c:pt idx="52">
                  <c:v>40146</c:v>
                </c:pt>
                <c:pt idx="53">
                  <c:v>232943</c:v>
                </c:pt>
                <c:pt idx="54">
                  <c:v>134525</c:v>
                </c:pt>
                <c:pt idx="55">
                  <c:v>51104</c:v>
                </c:pt>
                <c:pt idx="56">
                  <c:v>166937</c:v>
                </c:pt>
                <c:pt idx="57">
                  <c:v>26813</c:v>
                </c:pt>
                <c:pt idx="58">
                  <c:v>547</c:v>
                </c:pt>
                <c:pt idx="59">
                  <c:v>170444</c:v>
                </c:pt>
                <c:pt idx="60">
                  <c:v>141974</c:v>
                </c:pt>
                <c:pt idx="61">
                  <c:v>49</c:v>
                </c:pt>
                <c:pt idx="62">
                  <c:v>132</c:v>
                </c:pt>
                <c:pt idx="63">
                  <c:v>317308</c:v>
                </c:pt>
                <c:pt idx="64">
                  <c:v>38596</c:v>
                </c:pt>
                <c:pt idx="65">
                  <c:v>825218</c:v>
                </c:pt>
                <c:pt idx="66">
                  <c:v>90308</c:v>
                </c:pt>
                <c:pt idx="67">
                  <c:v>46604</c:v>
                </c:pt>
                <c:pt idx="68">
                  <c:v>1304816</c:v>
                </c:pt>
                <c:pt idx="69">
                  <c:v>402282</c:v>
                </c:pt>
                <c:pt idx="70">
                  <c:v>8311</c:v>
                </c:pt>
                <c:pt idx="71">
                  <c:v>19547</c:v>
                </c:pt>
                <c:pt idx="72">
                  <c:v>109086</c:v>
                </c:pt>
                <c:pt idx="73">
                  <c:v>191625</c:v>
                </c:pt>
                <c:pt idx="74">
                  <c:v>502147</c:v>
                </c:pt>
                <c:pt idx="75">
                  <c:v>36488</c:v>
                </c:pt>
                <c:pt idx="76">
                  <c:v>131425</c:v>
                </c:pt>
                <c:pt idx="77">
                  <c:v>231626</c:v>
                </c:pt>
                <c:pt idx="78">
                  <c:v>459645</c:v>
                </c:pt>
                <c:pt idx="79">
                  <c:v>71441</c:v>
                </c:pt>
                <c:pt idx="80">
                  <c:v>1034</c:v>
                </c:pt>
                <c:pt idx="81">
                  <c:v>247864</c:v>
                </c:pt>
                <c:pt idx="82">
                  <c:v>53617</c:v>
                </c:pt>
                <c:pt idx="83">
                  <c:v>12317</c:v>
                </c:pt>
                <c:pt idx="84">
                  <c:v>106354</c:v>
                </c:pt>
                <c:pt idx="85">
                  <c:v>332283</c:v>
                </c:pt>
                <c:pt idx="86">
                  <c:v>332760</c:v>
                </c:pt>
                <c:pt idx="87">
                  <c:v>7902</c:v>
                </c:pt>
                <c:pt idx="88">
                  <c:v>270389</c:v>
                </c:pt>
                <c:pt idx="89">
                  <c:v>10195</c:v>
                </c:pt>
                <c:pt idx="90">
                  <c:v>1645</c:v>
                </c:pt>
                <c:pt idx="91">
                  <c:v>2604</c:v>
                </c:pt>
                <c:pt idx="92">
                  <c:v>1562803</c:v>
                </c:pt>
                <c:pt idx="93">
                  <c:v>140694</c:v>
                </c:pt>
                <c:pt idx="94">
                  <c:v>7332</c:v>
                </c:pt>
                <c:pt idx="95">
                  <c:v>1371899</c:v>
                </c:pt>
                <c:pt idx="96">
                  <c:v>98360</c:v>
                </c:pt>
                <c:pt idx="97">
                  <c:v>24522</c:v>
                </c:pt>
                <c:pt idx="98">
                  <c:v>18283</c:v>
                </c:pt>
                <c:pt idx="99">
                  <c:v>3125</c:v>
                </c:pt>
                <c:pt idx="100">
                  <c:v>280800</c:v>
                </c:pt>
                <c:pt idx="101">
                  <c:v>2171302</c:v>
                </c:pt>
                <c:pt idx="102">
                  <c:v>17257</c:v>
                </c:pt>
                <c:pt idx="103">
                  <c:v>5023</c:v>
                </c:pt>
                <c:pt idx="104">
                  <c:v>48248</c:v>
                </c:pt>
                <c:pt idx="105">
                  <c:v>16191</c:v>
                </c:pt>
                <c:pt idx="106">
                  <c:v>464</c:v>
                </c:pt>
                <c:pt idx="107">
                  <c:v>1736</c:v>
                </c:pt>
                <c:pt idx="108">
                  <c:v>519342</c:v>
                </c:pt>
                <c:pt idx="109">
                  <c:v>7490</c:v>
                </c:pt>
                <c:pt idx="110">
                  <c:v>51284</c:v>
                </c:pt>
                <c:pt idx="111">
                  <c:v>105777</c:v>
                </c:pt>
                <c:pt idx="112">
                  <c:v>20495</c:v>
                </c:pt>
                <c:pt idx="113">
                  <c:v>745342</c:v>
                </c:pt>
                <c:pt idx="114">
                  <c:v>484144</c:v>
                </c:pt>
                <c:pt idx="115">
                  <c:v>43947</c:v>
                </c:pt>
                <c:pt idx="116">
                  <c:v>57143</c:v>
                </c:pt>
                <c:pt idx="117">
                  <c:v>393483</c:v>
                </c:pt>
                <c:pt idx="118">
                  <c:v>293273</c:v>
                </c:pt>
                <c:pt idx="119">
                  <c:v>130885</c:v>
                </c:pt>
                <c:pt idx="120">
                  <c:v>18928</c:v>
                </c:pt>
                <c:pt idx="121">
                  <c:v>16429</c:v>
                </c:pt>
                <c:pt idx="122">
                  <c:v>134778</c:v>
                </c:pt>
                <c:pt idx="123">
                  <c:v>84979</c:v>
                </c:pt>
                <c:pt idx="124">
                  <c:v>299477</c:v>
                </c:pt>
                <c:pt idx="125">
                  <c:v>26063</c:v>
                </c:pt>
                <c:pt idx="126">
                  <c:v>133005</c:v>
                </c:pt>
                <c:pt idx="127">
                  <c:v>130902</c:v>
                </c:pt>
                <c:pt idx="128">
                  <c:v>6974</c:v>
                </c:pt>
                <c:pt idx="129">
                  <c:v>3427</c:v>
                </c:pt>
                <c:pt idx="130">
                  <c:v>8803</c:v>
                </c:pt>
                <c:pt idx="131">
                  <c:v>41265</c:v>
                </c:pt>
                <c:pt idx="132">
                  <c:v>37886</c:v>
                </c:pt>
                <c:pt idx="133">
                  <c:v>28302</c:v>
                </c:pt>
                <c:pt idx="134">
                  <c:v>1851</c:v>
                </c:pt>
                <c:pt idx="135">
                  <c:v>23639</c:v>
                </c:pt>
                <c:pt idx="136">
                  <c:v>313032</c:v>
                </c:pt>
                <c:pt idx="137">
                  <c:v>7008</c:v>
                </c:pt>
                <c:pt idx="138">
                  <c:v>9344</c:v>
                </c:pt>
                <c:pt idx="139">
                  <c:v>462896</c:v>
                </c:pt>
                <c:pt idx="140">
                  <c:v>608768</c:v>
                </c:pt>
                <c:pt idx="141">
                  <c:v>79946</c:v>
                </c:pt>
                <c:pt idx="142">
                  <c:v>34552</c:v>
                </c:pt>
                <c:pt idx="143">
                  <c:v>298860</c:v>
                </c:pt>
                <c:pt idx="144">
                  <c:v>141800</c:v>
                </c:pt>
                <c:pt idx="145">
                  <c:v>823298</c:v>
                </c:pt>
                <c:pt idx="146">
                  <c:v>7209</c:v>
                </c:pt>
                <c:pt idx="147">
                  <c:v>287188</c:v>
                </c:pt>
                <c:pt idx="148">
                  <c:v>600900</c:v>
                </c:pt>
                <c:pt idx="149">
                  <c:v>218701</c:v>
                </c:pt>
                <c:pt idx="150">
                  <c:v>336958</c:v>
                </c:pt>
                <c:pt idx="151">
                  <c:v>94319</c:v>
                </c:pt>
                <c:pt idx="152">
                  <c:v>4154</c:v>
                </c:pt>
                <c:pt idx="153">
                  <c:v>99428</c:v>
                </c:pt>
                <c:pt idx="154">
                  <c:v>63437</c:v>
                </c:pt>
                <c:pt idx="155">
                  <c:v>17</c:v>
                </c:pt>
                <c:pt idx="156">
                  <c:v>29516</c:v>
                </c:pt>
                <c:pt idx="157">
                  <c:v>94956</c:v>
                </c:pt>
                <c:pt idx="158">
                  <c:v>30948</c:v>
                </c:pt>
                <c:pt idx="159">
                  <c:v>718944</c:v>
                </c:pt>
                <c:pt idx="160">
                  <c:v>6891</c:v>
                </c:pt>
                <c:pt idx="161">
                  <c:v>155891</c:v>
                </c:pt>
                <c:pt idx="162">
                  <c:v>134506</c:v>
                </c:pt>
                <c:pt idx="163">
                  <c:v>21674</c:v>
                </c:pt>
                <c:pt idx="164">
                  <c:v>150175</c:v>
                </c:pt>
                <c:pt idx="165">
                  <c:v>18585</c:v>
                </c:pt>
                <c:pt idx="166">
                  <c:v>5444</c:v>
                </c:pt>
                <c:pt idx="167">
                  <c:v>291026</c:v>
                </c:pt>
                <c:pt idx="168">
                  <c:v>41321</c:v>
                </c:pt>
                <c:pt idx="169">
                  <c:v>29411</c:v>
                </c:pt>
                <c:pt idx="170">
                  <c:v>8445</c:v>
                </c:pt>
                <c:pt idx="171">
                  <c:v>909311</c:v>
                </c:pt>
                <c:pt idx="172">
                  <c:v>315410</c:v>
                </c:pt>
                <c:pt idx="173">
                  <c:v>48425</c:v>
                </c:pt>
                <c:pt idx="174">
                  <c:v>32142</c:v>
                </c:pt>
                <c:pt idx="175">
                  <c:v>41161</c:v>
                </c:pt>
                <c:pt idx="176">
                  <c:v>11799</c:v>
                </c:pt>
                <c:pt idx="177">
                  <c:v>1654</c:v>
                </c:pt>
                <c:pt idx="178">
                  <c:v>70328</c:v>
                </c:pt>
                <c:pt idx="179">
                  <c:v>109626</c:v>
                </c:pt>
                <c:pt idx="180">
                  <c:v>151</c:v>
                </c:pt>
                <c:pt idx="181">
                  <c:v>103292</c:v>
                </c:pt>
                <c:pt idx="182">
                  <c:v>114848</c:v>
                </c:pt>
                <c:pt idx="183">
                  <c:v>35585</c:v>
                </c:pt>
                <c:pt idx="184">
                  <c:v>263437</c:v>
                </c:pt>
                <c:pt idx="185">
                  <c:v>55836</c:v>
                </c:pt>
                <c:pt idx="186">
                  <c:v>7931</c:v>
                </c:pt>
                <c:pt idx="187">
                  <c:v>12129</c:v>
                </c:pt>
                <c:pt idx="188">
                  <c:v>108697</c:v>
                </c:pt>
                <c:pt idx="189">
                  <c:v>71140</c:v>
                </c:pt>
                <c:pt idx="190">
                  <c:v>582736</c:v>
                </c:pt>
                <c:pt idx="191">
                  <c:v>670</c:v>
                </c:pt>
                <c:pt idx="192">
                  <c:v>123760</c:v>
                </c:pt>
                <c:pt idx="193">
                  <c:v>764393</c:v>
                </c:pt>
                <c:pt idx="194">
                  <c:v>18620</c:v>
                </c:pt>
                <c:pt idx="195">
                  <c:v>1062117</c:v>
                </c:pt>
                <c:pt idx="196">
                  <c:v>396083</c:v>
                </c:pt>
                <c:pt idx="197">
                  <c:v>13001</c:v>
                </c:pt>
                <c:pt idx="198">
                  <c:v>40535</c:v>
                </c:pt>
                <c:pt idx="199">
                  <c:v>77497</c:v>
                </c:pt>
                <c:pt idx="200">
                  <c:v>7628</c:v>
                </c:pt>
                <c:pt idx="201">
                  <c:v>143051</c:v>
                </c:pt>
                <c:pt idx="202">
                  <c:v>2873278</c:v>
                </c:pt>
                <c:pt idx="203">
                  <c:v>90758</c:v>
                </c:pt>
                <c:pt idx="204">
                  <c:v>1108083</c:v>
                </c:pt>
                <c:pt idx="205">
                  <c:v>888</c:v>
                </c:pt>
                <c:pt idx="206">
                  <c:v>36037</c:v>
                </c:pt>
                <c:pt idx="207">
                  <c:v>1208875</c:v>
                </c:pt>
                <c:pt idx="208">
                  <c:v>79</c:v>
                </c:pt>
                <c:pt idx="209">
                  <c:v>1026686</c:v>
                </c:pt>
                <c:pt idx="210">
                  <c:v>21436</c:v>
                </c:pt>
                <c:pt idx="211">
                  <c:v>34249</c:v>
                </c:pt>
                <c:pt idx="212">
                  <c:v>172</c:v>
                </c:pt>
                <c:pt idx="213">
                  <c:v>180886</c:v>
                </c:pt>
                <c:pt idx="214">
                  <c:v>25482</c:v>
                </c:pt>
                <c:pt idx="215">
                  <c:v>16153</c:v>
                </c:pt>
                <c:pt idx="216">
                  <c:v>102018</c:v>
                </c:pt>
                <c:pt idx="217">
                  <c:v>23473</c:v>
                </c:pt>
                <c:pt idx="218">
                  <c:v>108451</c:v>
                </c:pt>
                <c:pt idx="219">
                  <c:v>47458</c:v>
                </c:pt>
                <c:pt idx="220">
                  <c:v>55166</c:v>
                </c:pt>
                <c:pt idx="221">
                  <c:v>222573</c:v>
                </c:pt>
                <c:pt idx="222">
                  <c:v>492068</c:v>
                </c:pt>
                <c:pt idx="223">
                  <c:v>565235</c:v>
                </c:pt>
                <c:pt idx="224">
                  <c:v>52937</c:v>
                </c:pt>
                <c:pt idx="225">
                  <c:v>318</c:v>
                </c:pt>
                <c:pt idx="226">
                  <c:v>272999</c:v>
                </c:pt>
                <c:pt idx="227">
                  <c:v>697701</c:v>
                </c:pt>
                <c:pt idx="228">
                  <c:v>473137</c:v>
                </c:pt>
                <c:pt idx="229">
                  <c:v>69009</c:v>
                </c:pt>
                <c:pt idx="230">
                  <c:v>14141</c:v>
                </c:pt>
                <c:pt idx="231">
                  <c:v>527752</c:v>
                </c:pt>
                <c:pt idx="232">
                  <c:v>2093088</c:v>
                </c:pt>
                <c:pt idx="233">
                  <c:v>1096</c:v>
                </c:pt>
                <c:pt idx="234">
                  <c:v>82487</c:v>
                </c:pt>
                <c:pt idx="235">
                  <c:v>758</c:v>
                </c:pt>
                <c:pt idx="236">
                  <c:v>313723</c:v>
                </c:pt>
                <c:pt idx="237">
                  <c:v>34362</c:v>
                </c:pt>
                <c:pt idx="238">
                  <c:v>10487</c:v>
                </c:pt>
                <c:pt idx="239">
                  <c:v>1826</c:v>
                </c:pt>
                <c:pt idx="240">
                  <c:v>15167</c:v>
                </c:pt>
                <c:pt idx="241">
                  <c:v>45684</c:v>
                </c:pt>
                <c:pt idx="242">
                  <c:v>73475</c:v>
                </c:pt>
                <c:pt idx="243">
                  <c:v>1578</c:v>
                </c:pt>
                <c:pt idx="244">
                  <c:v>70521</c:v>
                </c:pt>
                <c:pt idx="245">
                  <c:v>3260</c:v>
                </c:pt>
                <c:pt idx="246">
                  <c:v>10468</c:v>
                </c:pt>
                <c:pt idx="247">
                  <c:v>49721</c:v>
                </c:pt>
                <c:pt idx="248">
                  <c:v>83395</c:v>
                </c:pt>
                <c:pt idx="249">
                  <c:v>111918</c:v>
                </c:pt>
                <c:pt idx="250">
                  <c:v>68419</c:v>
                </c:pt>
                <c:pt idx="251">
                  <c:v>1549315</c:v>
                </c:pt>
                <c:pt idx="252">
                  <c:v>30116</c:v>
                </c:pt>
                <c:pt idx="253">
                  <c:v>3351</c:v>
                </c:pt>
                <c:pt idx="254">
                  <c:v>93875</c:v>
                </c:pt>
                <c:pt idx="255">
                  <c:v>160521</c:v>
                </c:pt>
                <c:pt idx="256">
                  <c:v>385976</c:v>
                </c:pt>
                <c:pt idx="257">
                  <c:v>220602</c:v>
                </c:pt>
                <c:pt idx="258">
                  <c:v>260751</c:v>
                </c:pt>
                <c:pt idx="259">
                  <c:v>129503</c:v>
                </c:pt>
                <c:pt idx="260">
                  <c:v>1041766</c:v>
                </c:pt>
                <c:pt idx="261">
                  <c:v>61286</c:v>
                </c:pt>
                <c:pt idx="262">
                  <c:v>208991</c:v>
                </c:pt>
                <c:pt idx="263">
                  <c:v>69834</c:v>
                </c:pt>
                <c:pt idx="264">
                  <c:v>22707</c:v>
                </c:pt>
                <c:pt idx="265">
                  <c:v>237152</c:v>
                </c:pt>
                <c:pt idx="266">
                  <c:v>53219</c:v>
                </c:pt>
                <c:pt idx="267">
                  <c:v>58685</c:v>
                </c:pt>
                <c:pt idx="268">
                  <c:v>149372</c:v>
                </c:pt>
                <c:pt idx="269">
                  <c:v>97554</c:v>
                </c:pt>
                <c:pt idx="270">
                  <c:v>439030</c:v>
                </c:pt>
                <c:pt idx="271">
                  <c:v>14412</c:v>
                </c:pt>
                <c:pt idx="272">
                  <c:v>27240</c:v>
                </c:pt>
                <c:pt idx="273">
                  <c:v>190598</c:v>
                </c:pt>
                <c:pt idx="274">
                  <c:v>1303468</c:v>
                </c:pt>
                <c:pt idx="275">
                  <c:v>271704</c:v>
                </c:pt>
                <c:pt idx="276">
                  <c:v>29534</c:v>
                </c:pt>
                <c:pt idx="277">
                  <c:v>54469</c:v>
                </c:pt>
                <c:pt idx="278">
                  <c:v>156805</c:v>
                </c:pt>
                <c:pt idx="279">
                  <c:v>65278</c:v>
                </c:pt>
                <c:pt idx="280">
                  <c:v>775159</c:v>
                </c:pt>
                <c:pt idx="281">
                  <c:v>108457</c:v>
                </c:pt>
                <c:pt idx="282">
                  <c:v>214703</c:v>
                </c:pt>
                <c:pt idx="283">
                  <c:v>67935</c:v>
                </c:pt>
                <c:pt idx="284">
                  <c:v>12502</c:v>
                </c:pt>
                <c:pt idx="285">
                  <c:v>27001</c:v>
                </c:pt>
                <c:pt idx="286">
                  <c:v>6949</c:v>
                </c:pt>
                <c:pt idx="287">
                  <c:v>174859</c:v>
                </c:pt>
                <c:pt idx="288">
                  <c:v>374017</c:v>
                </c:pt>
                <c:pt idx="289">
                  <c:v>6293</c:v>
                </c:pt>
                <c:pt idx="290">
                  <c:v>71816</c:v>
                </c:pt>
                <c:pt idx="291">
                  <c:v>26915</c:v>
                </c:pt>
                <c:pt idx="292">
                  <c:v>1573970</c:v>
                </c:pt>
                <c:pt idx="293">
                  <c:v>343430</c:v>
                </c:pt>
                <c:pt idx="294">
                  <c:v>241079</c:v>
                </c:pt>
                <c:pt idx="295">
                  <c:v>156631</c:v>
                </c:pt>
                <c:pt idx="296">
                  <c:v>765393</c:v>
                </c:pt>
                <c:pt idx="297">
                  <c:v>15180</c:v>
                </c:pt>
                <c:pt idx="298">
                  <c:v>2242932</c:v>
                </c:pt>
                <c:pt idx="299">
                  <c:v>12398</c:v>
                </c:pt>
                <c:pt idx="300">
                  <c:v>14045</c:v>
                </c:pt>
                <c:pt idx="301">
                  <c:v>17311</c:v>
                </c:pt>
                <c:pt idx="302">
                  <c:v>67377</c:v>
                </c:pt>
                <c:pt idx="303">
                  <c:v>77011</c:v>
                </c:pt>
                <c:pt idx="304">
                  <c:v>15319</c:v>
                </c:pt>
                <c:pt idx="305">
                  <c:v>198388</c:v>
                </c:pt>
                <c:pt idx="306">
                  <c:v>81023</c:v>
                </c:pt>
                <c:pt idx="307">
                  <c:v>607692</c:v>
                </c:pt>
                <c:pt idx="308">
                  <c:v>1213</c:v>
                </c:pt>
                <c:pt idx="309">
                  <c:v>11315</c:v>
                </c:pt>
                <c:pt idx="310">
                  <c:v>17498</c:v>
                </c:pt>
                <c:pt idx="311">
                  <c:v>6392</c:v>
                </c:pt>
                <c:pt idx="312">
                  <c:v>87269</c:v>
                </c:pt>
                <c:pt idx="313">
                  <c:v>20497</c:v>
                </c:pt>
                <c:pt idx="314">
                  <c:v>18788</c:v>
                </c:pt>
                <c:pt idx="315">
                  <c:v>314941</c:v>
                </c:pt>
                <c:pt idx="316">
                  <c:v>16148</c:v>
                </c:pt>
                <c:pt idx="317">
                  <c:v>46612</c:v>
                </c:pt>
                <c:pt idx="318">
                  <c:v>53233</c:v>
                </c:pt>
                <c:pt idx="319">
                  <c:v>3693174</c:v>
                </c:pt>
                <c:pt idx="320">
                  <c:v>15828</c:v>
                </c:pt>
                <c:pt idx="321">
                  <c:v>45875</c:v>
                </c:pt>
                <c:pt idx="322">
                  <c:v>231462</c:v>
                </c:pt>
                <c:pt idx="323">
                  <c:v>318837</c:v>
                </c:pt>
                <c:pt idx="324">
                  <c:v>349938</c:v>
                </c:pt>
                <c:pt idx="325">
                  <c:v>5486433</c:v>
                </c:pt>
                <c:pt idx="326">
                  <c:v>3437</c:v>
                </c:pt>
                <c:pt idx="327">
                  <c:v>988204</c:v>
                </c:pt>
                <c:pt idx="328">
                  <c:v>92</c:v>
                </c:pt>
                <c:pt idx="329">
                  <c:v>1239</c:v>
                </c:pt>
                <c:pt idx="330">
                  <c:v>61602</c:v>
                </c:pt>
                <c:pt idx="331">
                  <c:v>533620</c:v>
                </c:pt>
                <c:pt idx="332">
                  <c:v>265881</c:v>
                </c:pt>
                <c:pt idx="333">
                  <c:v>79404</c:v>
                </c:pt>
                <c:pt idx="334">
                  <c:v>5245</c:v>
                </c:pt>
                <c:pt idx="335">
                  <c:v>2253321</c:v>
                </c:pt>
                <c:pt idx="336">
                  <c:v>110547</c:v>
                </c:pt>
                <c:pt idx="337">
                  <c:v>14205</c:v>
                </c:pt>
                <c:pt idx="338">
                  <c:v>403275</c:v>
                </c:pt>
                <c:pt idx="339">
                  <c:v>11529</c:v>
                </c:pt>
                <c:pt idx="340">
                  <c:v>81004</c:v>
                </c:pt>
                <c:pt idx="341">
                  <c:v>78588</c:v>
                </c:pt>
                <c:pt idx="342">
                  <c:v>414849</c:v>
                </c:pt>
                <c:pt idx="343">
                  <c:v>317745</c:v>
                </c:pt>
                <c:pt idx="344">
                  <c:v>252332</c:v>
                </c:pt>
                <c:pt idx="345">
                  <c:v>1095039</c:v>
                </c:pt>
                <c:pt idx="346">
                  <c:v>57600</c:v>
                </c:pt>
                <c:pt idx="347">
                  <c:v>17113</c:v>
                </c:pt>
                <c:pt idx="348">
                  <c:v>12216</c:v>
                </c:pt>
                <c:pt idx="349">
                  <c:v>36391</c:v>
                </c:pt>
                <c:pt idx="350">
                  <c:v>13648</c:v>
                </c:pt>
                <c:pt idx="351">
                  <c:v>846941</c:v>
                </c:pt>
                <c:pt idx="352">
                  <c:v>60252</c:v>
                </c:pt>
                <c:pt idx="353">
                  <c:v>9729833</c:v>
                </c:pt>
                <c:pt idx="354">
                  <c:v>186024</c:v>
                </c:pt>
                <c:pt idx="355">
                  <c:v>124996</c:v>
                </c:pt>
                <c:pt idx="356">
                  <c:v>157135</c:v>
                </c:pt>
                <c:pt idx="357">
                  <c:v>4816737</c:v>
                </c:pt>
                <c:pt idx="358">
                  <c:v>59460</c:v>
                </c:pt>
                <c:pt idx="359">
                  <c:v>2214540</c:v>
                </c:pt>
                <c:pt idx="360">
                  <c:v>418</c:v>
                </c:pt>
                <c:pt idx="361">
                  <c:v>60889</c:v>
                </c:pt>
                <c:pt idx="362">
                  <c:v>176655</c:v>
                </c:pt>
                <c:pt idx="363">
                  <c:v>7950</c:v>
                </c:pt>
                <c:pt idx="364">
                  <c:v>4356</c:v>
                </c:pt>
                <c:pt idx="365">
                  <c:v>104720</c:v>
                </c:pt>
                <c:pt idx="366">
                  <c:v>1734900</c:v>
                </c:pt>
                <c:pt idx="367">
                  <c:v>697</c:v>
                </c:pt>
                <c:pt idx="368">
                  <c:v>5374972</c:v>
                </c:pt>
                <c:pt idx="369">
                  <c:v>188800</c:v>
                </c:pt>
                <c:pt idx="370">
                  <c:v>153528</c:v>
                </c:pt>
                <c:pt idx="371">
                  <c:v>416397</c:v>
                </c:pt>
                <c:pt idx="372">
                  <c:v>741</c:v>
                </c:pt>
                <c:pt idx="373">
                  <c:v>214787</c:v>
                </c:pt>
                <c:pt idx="374">
                  <c:v>14608</c:v>
                </c:pt>
                <c:pt idx="375">
                  <c:v>7190</c:v>
                </c:pt>
                <c:pt idx="376">
                  <c:v>1662813</c:v>
                </c:pt>
                <c:pt idx="377">
                  <c:v>223626</c:v>
                </c:pt>
                <c:pt idx="378">
                  <c:v>319148</c:v>
                </c:pt>
                <c:pt idx="379">
                  <c:v>316823</c:v>
                </c:pt>
                <c:pt idx="380">
                  <c:v>740092</c:v>
                </c:pt>
                <c:pt idx="381">
                  <c:v>135210</c:v>
                </c:pt>
                <c:pt idx="382">
                  <c:v>38578</c:v>
                </c:pt>
                <c:pt idx="383">
                  <c:v>888389</c:v>
                </c:pt>
                <c:pt idx="384">
                  <c:v>2097170</c:v>
                </c:pt>
                <c:pt idx="385">
                  <c:v>268663</c:v>
                </c:pt>
                <c:pt idx="386">
                  <c:v>201910</c:v>
                </c:pt>
                <c:pt idx="387">
                  <c:v>64820</c:v>
                </c:pt>
                <c:pt idx="388">
                  <c:v>18301</c:v>
                </c:pt>
                <c:pt idx="389">
                  <c:v>177250</c:v>
                </c:pt>
                <c:pt idx="390">
                  <c:v>62102</c:v>
                </c:pt>
                <c:pt idx="391">
                  <c:v>431027</c:v>
                </c:pt>
                <c:pt idx="392">
                  <c:v>48288</c:v>
                </c:pt>
                <c:pt idx="393">
                  <c:v>6507</c:v>
                </c:pt>
                <c:pt idx="394">
                  <c:v>8990</c:v>
                </c:pt>
                <c:pt idx="395">
                  <c:v>783</c:v>
                </c:pt>
                <c:pt idx="396">
                  <c:v>2643542</c:v>
                </c:pt>
                <c:pt idx="397">
                  <c:v>188808</c:v>
                </c:pt>
                <c:pt idx="398">
                  <c:v>27727</c:v>
                </c:pt>
              </c:numCache>
            </c:numRef>
          </c:xVal>
          <c:yVal>
            <c:numRef>
              <c:f>TRAIN_MASS!$B$2:$B$400</c:f>
              <c:numCache>
                <c:formatCode>General</c:formatCode>
                <c:ptCount val="399"/>
                <c:pt idx="0">
                  <c:v>1060</c:v>
                </c:pt>
                <c:pt idx="1">
                  <c:v>691</c:v>
                </c:pt>
                <c:pt idx="2">
                  <c:v>589</c:v>
                </c:pt>
                <c:pt idx="3">
                  <c:v>692</c:v>
                </c:pt>
                <c:pt idx="4">
                  <c:v>741</c:v>
                </c:pt>
                <c:pt idx="5">
                  <c:v>684</c:v>
                </c:pt>
                <c:pt idx="6">
                  <c:v>1046</c:v>
                </c:pt>
                <c:pt idx="7">
                  <c:v>624</c:v>
                </c:pt>
                <c:pt idx="8">
                  <c:v>812</c:v>
                </c:pt>
                <c:pt idx="9">
                  <c:v>816</c:v>
                </c:pt>
                <c:pt idx="10">
                  <c:v>1460</c:v>
                </c:pt>
                <c:pt idx="11">
                  <c:v>772</c:v>
                </c:pt>
                <c:pt idx="12">
                  <c:v>1541</c:v>
                </c:pt>
                <c:pt idx="13">
                  <c:v>493</c:v>
                </c:pt>
                <c:pt idx="14">
                  <c:v>644</c:v>
                </c:pt>
                <c:pt idx="15">
                  <c:v>1738</c:v>
                </c:pt>
                <c:pt idx="16">
                  <c:v>618</c:v>
                </c:pt>
                <c:pt idx="17">
                  <c:v>1415</c:v>
                </c:pt>
                <c:pt idx="18">
                  <c:v>753</c:v>
                </c:pt>
                <c:pt idx="19">
                  <c:v>1212</c:v>
                </c:pt>
                <c:pt idx="20">
                  <c:v>578</c:v>
                </c:pt>
                <c:pt idx="21">
                  <c:v>777</c:v>
                </c:pt>
                <c:pt idx="22">
                  <c:v>1732</c:v>
                </c:pt>
                <c:pt idx="23">
                  <c:v>664</c:v>
                </c:pt>
                <c:pt idx="24">
                  <c:v>858</c:v>
                </c:pt>
                <c:pt idx="25">
                  <c:v>1092</c:v>
                </c:pt>
                <c:pt idx="26">
                  <c:v>749</c:v>
                </c:pt>
                <c:pt idx="27">
                  <c:v>1136</c:v>
                </c:pt>
                <c:pt idx="28">
                  <c:v>1097</c:v>
                </c:pt>
                <c:pt idx="29">
                  <c:v>926</c:v>
                </c:pt>
                <c:pt idx="30">
                  <c:v>890</c:v>
                </c:pt>
                <c:pt idx="31">
                  <c:v>500</c:v>
                </c:pt>
                <c:pt idx="32">
                  <c:v>908</c:v>
                </c:pt>
                <c:pt idx="33">
                  <c:v>636</c:v>
                </c:pt>
                <c:pt idx="34">
                  <c:v>606</c:v>
                </c:pt>
                <c:pt idx="35">
                  <c:v>919</c:v>
                </c:pt>
                <c:pt idx="36">
                  <c:v>1240</c:v>
                </c:pt>
                <c:pt idx="37">
                  <c:v>518</c:v>
                </c:pt>
                <c:pt idx="38">
                  <c:v>760</c:v>
                </c:pt>
                <c:pt idx="39">
                  <c:v>1051</c:v>
                </c:pt>
                <c:pt idx="40">
                  <c:v>881</c:v>
                </c:pt>
                <c:pt idx="41">
                  <c:v>1307</c:v>
                </c:pt>
                <c:pt idx="42">
                  <c:v>1005</c:v>
                </c:pt>
                <c:pt idx="43">
                  <c:v>666</c:v>
                </c:pt>
                <c:pt idx="44">
                  <c:v>777</c:v>
                </c:pt>
                <c:pt idx="45">
                  <c:v>533</c:v>
                </c:pt>
                <c:pt idx="46">
                  <c:v>581</c:v>
                </c:pt>
                <c:pt idx="47">
                  <c:v>1022</c:v>
                </c:pt>
                <c:pt idx="48">
                  <c:v>1364</c:v>
                </c:pt>
                <c:pt idx="49">
                  <c:v>934</c:v>
                </c:pt>
                <c:pt idx="50">
                  <c:v>474</c:v>
                </c:pt>
                <c:pt idx="51">
                  <c:v>853</c:v>
                </c:pt>
                <c:pt idx="52">
                  <c:v>706</c:v>
                </c:pt>
                <c:pt idx="53">
                  <c:v>1464</c:v>
                </c:pt>
                <c:pt idx="54">
                  <c:v>869</c:v>
                </c:pt>
                <c:pt idx="55">
                  <c:v>1195</c:v>
                </c:pt>
                <c:pt idx="56">
                  <c:v>776</c:v>
                </c:pt>
                <c:pt idx="57">
                  <c:v>1003</c:v>
                </c:pt>
                <c:pt idx="58">
                  <c:v>789</c:v>
                </c:pt>
                <c:pt idx="59">
                  <c:v>835</c:v>
                </c:pt>
                <c:pt idx="60">
                  <c:v>920</c:v>
                </c:pt>
                <c:pt idx="61">
                  <c:v>494</c:v>
                </c:pt>
                <c:pt idx="62">
                  <c:v>289</c:v>
                </c:pt>
                <c:pt idx="63">
                  <c:v>1000</c:v>
                </c:pt>
                <c:pt idx="64">
                  <c:v>274</c:v>
                </c:pt>
                <c:pt idx="65">
                  <c:v>1430</c:v>
                </c:pt>
                <c:pt idx="66">
                  <c:v>687</c:v>
                </c:pt>
                <c:pt idx="67">
                  <c:v>747</c:v>
                </c:pt>
                <c:pt idx="68">
                  <c:v>1504</c:v>
                </c:pt>
                <c:pt idx="69">
                  <c:v>1374</c:v>
                </c:pt>
                <c:pt idx="70">
                  <c:v>683</c:v>
                </c:pt>
                <c:pt idx="71">
                  <c:v>237</c:v>
                </c:pt>
                <c:pt idx="72">
                  <c:v>1353</c:v>
                </c:pt>
                <c:pt idx="73">
                  <c:v>1142</c:v>
                </c:pt>
                <c:pt idx="74">
                  <c:v>1391</c:v>
                </c:pt>
                <c:pt idx="75">
                  <c:v>756</c:v>
                </c:pt>
                <c:pt idx="76">
                  <c:v>1104</c:v>
                </c:pt>
                <c:pt idx="77">
                  <c:v>1076</c:v>
                </c:pt>
                <c:pt idx="78">
                  <c:v>1013</c:v>
                </c:pt>
                <c:pt idx="79">
                  <c:v>430</c:v>
                </c:pt>
                <c:pt idx="80">
                  <c:v>474</c:v>
                </c:pt>
                <c:pt idx="81">
                  <c:v>1249</c:v>
                </c:pt>
                <c:pt idx="82">
                  <c:v>923</c:v>
                </c:pt>
                <c:pt idx="83">
                  <c:v>766</c:v>
                </c:pt>
                <c:pt idx="84">
                  <c:v>1340</c:v>
                </c:pt>
                <c:pt idx="85">
                  <c:v>1302</c:v>
                </c:pt>
                <c:pt idx="86">
                  <c:v>1212</c:v>
                </c:pt>
                <c:pt idx="87">
                  <c:v>717</c:v>
                </c:pt>
                <c:pt idx="88">
                  <c:v>1155</c:v>
                </c:pt>
                <c:pt idx="89">
                  <c:v>618</c:v>
                </c:pt>
                <c:pt idx="90">
                  <c:v>551</c:v>
                </c:pt>
                <c:pt idx="91">
                  <c:v>553</c:v>
                </c:pt>
                <c:pt idx="92">
                  <c:v>968</c:v>
                </c:pt>
                <c:pt idx="93">
                  <c:v>996</c:v>
                </c:pt>
                <c:pt idx="94">
                  <c:v>819</c:v>
                </c:pt>
                <c:pt idx="95">
                  <c:v>1127</c:v>
                </c:pt>
                <c:pt idx="96">
                  <c:v>858</c:v>
                </c:pt>
                <c:pt idx="97">
                  <c:v>786</c:v>
                </c:pt>
                <c:pt idx="98">
                  <c:v>899</c:v>
                </c:pt>
                <c:pt idx="99">
                  <c:v>526</c:v>
                </c:pt>
                <c:pt idx="100">
                  <c:v>1104</c:v>
                </c:pt>
                <c:pt idx="101">
                  <c:v>1347</c:v>
                </c:pt>
                <c:pt idx="102">
                  <c:v>815</c:v>
                </c:pt>
                <c:pt idx="103">
                  <c:v>1113</c:v>
                </c:pt>
                <c:pt idx="104">
                  <c:v>1427</c:v>
                </c:pt>
                <c:pt idx="105">
                  <c:v>743</c:v>
                </c:pt>
                <c:pt idx="106">
                  <c:v>724</c:v>
                </c:pt>
                <c:pt idx="107">
                  <c:v>344</c:v>
                </c:pt>
                <c:pt idx="108">
                  <c:v>1089</c:v>
                </c:pt>
                <c:pt idx="109">
                  <c:v>839</c:v>
                </c:pt>
                <c:pt idx="110">
                  <c:v>200</c:v>
                </c:pt>
                <c:pt idx="111">
                  <c:v>837</c:v>
                </c:pt>
                <c:pt idx="112">
                  <c:v>790</c:v>
                </c:pt>
                <c:pt idx="113">
                  <c:v>1083</c:v>
                </c:pt>
                <c:pt idx="114">
                  <c:v>705</c:v>
                </c:pt>
                <c:pt idx="115">
                  <c:v>794</c:v>
                </c:pt>
                <c:pt idx="116">
                  <c:v>865</c:v>
                </c:pt>
                <c:pt idx="117">
                  <c:v>848</c:v>
                </c:pt>
                <c:pt idx="118">
                  <c:v>1370</c:v>
                </c:pt>
                <c:pt idx="119">
                  <c:v>969</c:v>
                </c:pt>
                <c:pt idx="120">
                  <c:v>637</c:v>
                </c:pt>
                <c:pt idx="121">
                  <c:v>557</c:v>
                </c:pt>
                <c:pt idx="122">
                  <c:v>921</c:v>
                </c:pt>
                <c:pt idx="123">
                  <c:v>582</c:v>
                </c:pt>
                <c:pt idx="124">
                  <c:v>1132</c:v>
                </c:pt>
                <c:pt idx="125">
                  <c:v>1079</c:v>
                </c:pt>
                <c:pt idx="126">
                  <c:v>1249</c:v>
                </c:pt>
                <c:pt idx="127">
                  <c:v>1051</c:v>
                </c:pt>
                <c:pt idx="128">
                  <c:v>257</c:v>
                </c:pt>
                <c:pt idx="129">
                  <c:v>334</c:v>
                </c:pt>
                <c:pt idx="130">
                  <c:v>621</c:v>
                </c:pt>
                <c:pt idx="131">
                  <c:v>838</c:v>
                </c:pt>
                <c:pt idx="132">
                  <c:v>423</c:v>
                </c:pt>
                <c:pt idx="133">
                  <c:v>656</c:v>
                </c:pt>
                <c:pt idx="134">
                  <c:v>370</c:v>
                </c:pt>
                <c:pt idx="135">
                  <c:v>864</c:v>
                </c:pt>
                <c:pt idx="136">
                  <c:v>1070</c:v>
                </c:pt>
                <c:pt idx="137">
                  <c:v>827</c:v>
                </c:pt>
                <c:pt idx="138">
                  <c:v>799</c:v>
                </c:pt>
                <c:pt idx="139">
                  <c:v>1113</c:v>
                </c:pt>
                <c:pt idx="140">
                  <c:v>820</c:v>
                </c:pt>
                <c:pt idx="141">
                  <c:v>564</c:v>
                </c:pt>
                <c:pt idx="142">
                  <c:v>632</c:v>
                </c:pt>
                <c:pt idx="143">
                  <c:v>1311</c:v>
                </c:pt>
                <c:pt idx="144">
                  <c:v>690</c:v>
                </c:pt>
                <c:pt idx="145">
                  <c:v>1510</c:v>
                </c:pt>
                <c:pt idx="146">
                  <c:v>722</c:v>
                </c:pt>
                <c:pt idx="147">
                  <c:v>728</c:v>
                </c:pt>
                <c:pt idx="148">
                  <c:v>1111</c:v>
                </c:pt>
                <c:pt idx="149">
                  <c:v>865</c:v>
                </c:pt>
                <c:pt idx="150">
                  <c:v>1261</c:v>
                </c:pt>
                <c:pt idx="151">
                  <c:v>692</c:v>
                </c:pt>
                <c:pt idx="152">
                  <c:v>279</c:v>
                </c:pt>
                <c:pt idx="153">
                  <c:v>1446</c:v>
                </c:pt>
                <c:pt idx="154">
                  <c:v>469</c:v>
                </c:pt>
                <c:pt idx="155">
                  <c:v>351</c:v>
                </c:pt>
                <c:pt idx="156">
                  <c:v>276</c:v>
                </c:pt>
                <c:pt idx="157">
                  <c:v>1042</c:v>
                </c:pt>
                <c:pt idx="158">
                  <c:v>496</c:v>
                </c:pt>
                <c:pt idx="159">
                  <c:v>1171</c:v>
                </c:pt>
                <c:pt idx="160">
                  <c:v>453</c:v>
                </c:pt>
                <c:pt idx="161">
                  <c:v>648</c:v>
                </c:pt>
                <c:pt idx="162">
                  <c:v>1088</c:v>
                </c:pt>
                <c:pt idx="163">
                  <c:v>789</c:v>
                </c:pt>
                <c:pt idx="164">
                  <c:v>1123</c:v>
                </c:pt>
                <c:pt idx="165">
                  <c:v>1064</c:v>
                </c:pt>
                <c:pt idx="166">
                  <c:v>744</c:v>
                </c:pt>
                <c:pt idx="167">
                  <c:v>1296</c:v>
                </c:pt>
                <c:pt idx="168">
                  <c:v>753</c:v>
                </c:pt>
                <c:pt idx="169">
                  <c:v>774</c:v>
                </c:pt>
                <c:pt idx="170">
                  <c:v>623</c:v>
                </c:pt>
                <c:pt idx="171">
                  <c:v>1368</c:v>
                </c:pt>
                <c:pt idx="172">
                  <c:v>1433</c:v>
                </c:pt>
                <c:pt idx="173">
                  <c:v>562</c:v>
                </c:pt>
                <c:pt idx="174">
                  <c:v>911</c:v>
                </c:pt>
                <c:pt idx="175">
                  <c:v>931</c:v>
                </c:pt>
                <c:pt idx="176">
                  <c:v>283</c:v>
                </c:pt>
                <c:pt idx="177">
                  <c:v>672</c:v>
                </c:pt>
                <c:pt idx="178">
                  <c:v>380</c:v>
                </c:pt>
                <c:pt idx="179">
                  <c:v>1137</c:v>
                </c:pt>
                <c:pt idx="180">
                  <c:v>913</c:v>
                </c:pt>
                <c:pt idx="181">
                  <c:v>946</c:v>
                </c:pt>
                <c:pt idx="182">
                  <c:v>929</c:v>
                </c:pt>
                <c:pt idx="183">
                  <c:v>441</c:v>
                </c:pt>
                <c:pt idx="184">
                  <c:v>1099</c:v>
                </c:pt>
                <c:pt idx="185">
                  <c:v>359</c:v>
                </c:pt>
                <c:pt idx="186">
                  <c:v>1086</c:v>
                </c:pt>
                <c:pt idx="187">
                  <c:v>316</c:v>
                </c:pt>
                <c:pt idx="188">
                  <c:v>891</c:v>
                </c:pt>
                <c:pt idx="189">
                  <c:v>810</c:v>
                </c:pt>
                <c:pt idx="190">
                  <c:v>1639</c:v>
                </c:pt>
                <c:pt idx="191">
                  <c:v>577</c:v>
                </c:pt>
                <c:pt idx="192">
                  <c:v>922</c:v>
                </c:pt>
                <c:pt idx="193">
                  <c:v>944</c:v>
                </c:pt>
                <c:pt idx="194">
                  <c:v>827</c:v>
                </c:pt>
                <c:pt idx="195">
                  <c:v>1162</c:v>
                </c:pt>
                <c:pt idx="196">
                  <c:v>1007</c:v>
                </c:pt>
                <c:pt idx="197">
                  <c:v>723</c:v>
                </c:pt>
                <c:pt idx="198">
                  <c:v>356</c:v>
                </c:pt>
                <c:pt idx="199">
                  <c:v>886</c:v>
                </c:pt>
                <c:pt idx="200">
                  <c:v>727</c:v>
                </c:pt>
                <c:pt idx="201">
                  <c:v>851</c:v>
                </c:pt>
                <c:pt idx="202">
                  <c:v>1629</c:v>
                </c:pt>
                <c:pt idx="203">
                  <c:v>335</c:v>
                </c:pt>
                <c:pt idx="204">
                  <c:v>1139</c:v>
                </c:pt>
                <c:pt idx="205">
                  <c:v>384</c:v>
                </c:pt>
                <c:pt idx="206">
                  <c:v>961</c:v>
                </c:pt>
                <c:pt idx="207">
                  <c:v>1306</c:v>
                </c:pt>
                <c:pt idx="208">
                  <c:v>967</c:v>
                </c:pt>
                <c:pt idx="209">
                  <c:v>1200</c:v>
                </c:pt>
                <c:pt idx="210">
                  <c:v>920</c:v>
                </c:pt>
                <c:pt idx="211">
                  <c:v>894</c:v>
                </c:pt>
                <c:pt idx="212">
                  <c:v>496</c:v>
                </c:pt>
                <c:pt idx="213">
                  <c:v>975</c:v>
                </c:pt>
                <c:pt idx="214">
                  <c:v>946</c:v>
                </c:pt>
                <c:pt idx="215">
                  <c:v>499</c:v>
                </c:pt>
                <c:pt idx="216">
                  <c:v>846</c:v>
                </c:pt>
                <c:pt idx="217">
                  <c:v>879</c:v>
                </c:pt>
                <c:pt idx="218">
                  <c:v>879</c:v>
                </c:pt>
                <c:pt idx="219">
                  <c:v>661</c:v>
                </c:pt>
                <c:pt idx="220">
                  <c:v>909</c:v>
                </c:pt>
                <c:pt idx="221">
                  <c:v>1194</c:v>
                </c:pt>
                <c:pt idx="222">
                  <c:v>1440</c:v>
                </c:pt>
                <c:pt idx="223">
                  <c:v>717</c:v>
                </c:pt>
                <c:pt idx="224">
                  <c:v>1066</c:v>
                </c:pt>
                <c:pt idx="225">
                  <c:v>278</c:v>
                </c:pt>
                <c:pt idx="226">
                  <c:v>806</c:v>
                </c:pt>
                <c:pt idx="227">
                  <c:v>1197</c:v>
                </c:pt>
                <c:pt idx="228">
                  <c:v>1129</c:v>
                </c:pt>
                <c:pt idx="229">
                  <c:v>764</c:v>
                </c:pt>
                <c:pt idx="230">
                  <c:v>807</c:v>
                </c:pt>
                <c:pt idx="231">
                  <c:v>1208</c:v>
                </c:pt>
                <c:pt idx="232">
                  <c:v>1332</c:v>
                </c:pt>
                <c:pt idx="233">
                  <c:v>391</c:v>
                </c:pt>
                <c:pt idx="234">
                  <c:v>914</c:v>
                </c:pt>
                <c:pt idx="235">
                  <c:v>733</c:v>
                </c:pt>
                <c:pt idx="236">
                  <c:v>991</c:v>
                </c:pt>
                <c:pt idx="237">
                  <c:v>389</c:v>
                </c:pt>
                <c:pt idx="238">
                  <c:v>933</c:v>
                </c:pt>
                <c:pt idx="239">
                  <c:v>1034</c:v>
                </c:pt>
                <c:pt idx="240">
                  <c:v>895</c:v>
                </c:pt>
                <c:pt idx="241">
                  <c:v>1157</c:v>
                </c:pt>
                <c:pt idx="242">
                  <c:v>816</c:v>
                </c:pt>
                <c:pt idx="243">
                  <c:v>290</c:v>
                </c:pt>
                <c:pt idx="244">
                  <c:v>1083</c:v>
                </c:pt>
                <c:pt idx="245">
                  <c:v>883</c:v>
                </c:pt>
                <c:pt idx="246">
                  <c:v>819</c:v>
                </c:pt>
                <c:pt idx="247">
                  <c:v>562</c:v>
                </c:pt>
                <c:pt idx="248">
                  <c:v>875</c:v>
                </c:pt>
                <c:pt idx="249">
                  <c:v>858</c:v>
                </c:pt>
                <c:pt idx="250">
                  <c:v>1231</c:v>
                </c:pt>
                <c:pt idx="251">
                  <c:v>1441</c:v>
                </c:pt>
                <c:pt idx="252">
                  <c:v>700</c:v>
                </c:pt>
                <c:pt idx="253">
                  <c:v>122</c:v>
                </c:pt>
                <c:pt idx="254">
                  <c:v>1095</c:v>
                </c:pt>
                <c:pt idx="255">
                  <c:v>706</c:v>
                </c:pt>
                <c:pt idx="256">
                  <c:v>933</c:v>
                </c:pt>
                <c:pt idx="257">
                  <c:v>1446</c:v>
                </c:pt>
                <c:pt idx="258">
                  <c:v>991</c:v>
                </c:pt>
                <c:pt idx="259">
                  <c:v>983</c:v>
                </c:pt>
                <c:pt idx="260">
                  <c:v>1003</c:v>
                </c:pt>
                <c:pt idx="261">
                  <c:v>806</c:v>
                </c:pt>
                <c:pt idx="262">
                  <c:v>922</c:v>
                </c:pt>
                <c:pt idx="263">
                  <c:v>1077</c:v>
                </c:pt>
                <c:pt idx="264">
                  <c:v>906</c:v>
                </c:pt>
                <c:pt idx="265">
                  <c:v>989</c:v>
                </c:pt>
                <c:pt idx="266">
                  <c:v>767</c:v>
                </c:pt>
                <c:pt idx="267">
                  <c:v>779</c:v>
                </c:pt>
                <c:pt idx="268">
                  <c:v>739</c:v>
                </c:pt>
                <c:pt idx="269">
                  <c:v>687</c:v>
                </c:pt>
                <c:pt idx="270">
                  <c:v>1338</c:v>
                </c:pt>
                <c:pt idx="271">
                  <c:v>476</c:v>
                </c:pt>
                <c:pt idx="272">
                  <c:v>490</c:v>
                </c:pt>
                <c:pt idx="273">
                  <c:v>651</c:v>
                </c:pt>
                <c:pt idx="274">
                  <c:v>1216</c:v>
                </c:pt>
                <c:pt idx="275">
                  <c:v>1413</c:v>
                </c:pt>
                <c:pt idx="276">
                  <c:v>610</c:v>
                </c:pt>
                <c:pt idx="277">
                  <c:v>811</c:v>
                </c:pt>
                <c:pt idx="278">
                  <c:v>701</c:v>
                </c:pt>
                <c:pt idx="279">
                  <c:v>352</c:v>
                </c:pt>
                <c:pt idx="280">
                  <c:v>527</c:v>
                </c:pt>
                <c:pt idx="281">
                  <c:v>955</c:v>
                </c:pt>
                <c:pt idx="282">
                  <c:v>947</c:v>
                </c:pt>
                <c:pt idx="283">
                  <c:v>624</c:v>
                </c:pt>
                <c:pt idx="284">
                  <c:v>628</c:v>
                </c:pt>
                <c:pt idx="285">
                  <c:v>1001</c:v>
                </c:pt>
                <c:pt idx="286">
                  <c:v>642</c:v>
                </c:pt>
                <c:pt idx="287">
                  <c:v>851</c:v>
                </c:pt>
                <c:pt idx="288">
                  <c:v>1152</c:v>
                </c:pt>
                <c:pt idx="289">
                  <c:v>451</c:v>
                </c:pt>
                <c:pt idx="290">
                  <c:v>892</c:v>
                </c:pt>
                <c:pt idx="291">
                  <c:v>738</c:v>
                </c:pt>
                <c:pt idx="292">
                  <c:v>1039</c:v>
                </c:pt>
                <c:pt idx="293">
                  <c:v>1105</c:v>
                </c:pt>
                <c:pt idx="294">
                  <c:v>1286</c:v>
                </c:pt>
                <c:pt idx="295">
                  <c:v>854</c:v>
                </c:pt>
                <c:pt idx="296">
                  <c:v>1017</c:v>
                </c:pt>
                <c:pt idx="297">
                  <c:v>558</c:v>
                </c:pt>
                <c:pt idx="298">
                  <c:v>1460</c:v>
                </c:pt>
                <c:pt idx="299">
                  <c:v>832</c:v>
                </c:pt>
                <c:pt idx="300">
                  <c:v>1055</c:v>
                </c:pt>
                <c:pt idx="301">
                  <c:v>269</c:v>
                </c:pt>
                <c:pt idx="302">
                  <c:v>1261</c:v>
                </c:pt>
                <c:pt idx="303">
                  <c:v>725</c:v>
                </c:pt>
                <c:pt idx="304">
                  <c:v>390</c:v>
                </c:pt>
                <c:pt idx="305">
                  <c:v>667</c:v>
                </c:pt>
                <c:pt idx="306">
                  <c:v>624</c:v>
                </c:pt>
                <c:pt idx="307">
                  <c:v>987</c:v>
                </c:pt>
                <c:pt idx="308">
                  <c:v>664</c:v>
                </c:pt>
                <c:pt idx="309">
                  <c:v>535</c:v>
                </c:pt>
                <c:pt idx="310">
                  <c:v>481</c:v>
                </c:pt>
                <c:pt idx="311">
                  <c:v>856</c:v>
                </c:pt>
                <c:pt idx="312">
                  <c:v>835</c:v>
                </c:pt>
                <c:pt idx="313">
                  <c:v>977</c:v>
                </c:pt>
                <c:pt idx="314">
                  <c:v>716</c:v>
                </c:pt>
                <c:pt idx="315">
                  <c:v>1383</c:v>
                </c:pt>
                <c:pt idx="316">
                  <c:v>972</c:v>
                </c:pt>
                <c:pt idx="317">
                  <c:v>710</c:v>
                </c:pt>
                <c:pt idx="318">
                  <c:v>352</c:v>
                </c:pt>
                <c:pt idx="319">
                  <c:v>1960</c:v>
                </c:pt>
                <c:pt idx="320">
                  <c:v>233</c:v>
                </c:pt>
                <c:pt idx="321">
                  <c:v>1037</c:v>
                </c:pt>
                <c:pt idx="322">
                  <c:v>1018</c:v>
                </c:pt>
                <c:pt idx="323">
                  <c:v>930</c:v>
                </c:pt>
                <c:pt idx="324">
                  <c:v>1096</c:v>
                </c:pt>
                <c:pt idx="325">
                  <c:v>2288</c:v>
                </c:pt>
                <c:pt idx="326">
                  <c:v>360</c:v>
                </c:pt>
                <c:pt idx="327">
                  <c:v>1213</c:v>
                </c:pt>
                <c:pt idx="328">
                  <c:v>100</c:v>
                </c:pt>
                <c:pt idx="329">
                  <c:v>584</c:v>
                </c:pt>
                <c:pt idx="330">
                  <c:v>1144</c:v>
                </c:pt>
                <c:pt idx="331">
                  <c:v>1126</c:v>
                </c:pt>
                <c:pt idx="332">
                  <c:v>1500</c:v>
                </c:pt>
                <c:pt idx="333">
                  <c:v>766</c:v>
                </c:pt>
                <c:pt idx="334">
                  <c:v>635</c:v>
                </c:pt>
                <c:pt idx="335">
                  <c:v>1095</c:v>
                </c:pt>
                <c:pt idx="336">
                  <c:v>1178</c:v>
                </c:pt>
                <c:pt idx="337">
                  <c:v>411</c:v>
                </c:pt>
                <c:pt idx="338">
                  <c:v>1039</c:v>
                </c:pt>
                <c:pt idx="339">
                  <c:v>286</c:v>
                </c:pt>
                <c:pt idx="340">
                  <c:v>1644</c:v>
                </c:pt>
                <c:pt idx="341">
                  <c:v>291</c:v>
                </c:pt>
                <c:pt idx="342">
                  <c:v>735</c:v>
                </c:pt>
                <c:pt idx="343">
                  <c:v>521</c:v>
                </c:pt>
                <c:pt idx="344">
                  <c:v>924</c:v>
                </c:pt>
                <c:pt idx="345">
                  <c:v>1248</c:v>
                </c:pt>
                <c:pt idx="346">
                  <c:v>696</c:v>
                </c:pt>
                <c:pt idx="347">
                  <c:v>445</c:v>
                </c:pt>
                <c:pt idx="348">
                  <c:v>717</c:v>
                </c:pt>
                <c:pt idx="349">
                  <c:v>656</c:v>
                </c:pt>
                <c:pt idx="350">
                  <c:v>1069</c:v>
                </c:pt>
                <c:pt idx="351">
                  <c:v>1492</c:v>
                </c:pt>
                <c:pt idx="352">
                  <c:v>737</c:v>
                </c:pt>
                <c:pt idx="353">
                  <c:v>2019</c:v>
                </c:pt>
                <c:pt idx="354">
                  <c:v>1348</c:v>
                </c:pt>
                <c:pt idx="355">
                  <c:v>815</c:v>
                </c:pt>
                <c:pt idx="356">
                  <c:v>1042</c:v>
                </c:pt>
                <c:pt idx="357">
                  <c:v>1782</c:v>
                </c:pt>
                <c:pt idx="358">
                  <c:v>716</c:v>
                </c:pt>
                <c:pt idx="359">
                  <c:v>2009</c:v>
                </c:pt>
                <c:pt idx="360">
                  <c:v>428</c:v>
                </c:pt>
                <c:pt idx="361">
                  <c:v>682</c:v>
                </c:pt>
                <c:pt idx="362">
                  <c:v>989</c:v>
                </c:pt>
                <c:pt idx="363">
                  <c:v>584</c:v>
                </c:pt>
                <c:pt idx="364">
                  <c:v>1026</c:v>
                </c:pt>
                <c:pt idx="365">
                  <c:v>978</c:v>
                </c:pt>
                <c:pt idx="366">
                  <c:v>1886</c:v>
                </c:pt>
                <c:pt idx="367">
                  <c:v>917</c:v>
                </c:pt>
                <c:pt idx="368">
                  <c:v>2132</c:v>
                </c:pt>
                <c:pt idx="369">
                  <c:v>903</c:v>
                </c:pt>
                <c:pt idx="370">
                  <c:v>772</c:v>
                </c:pt>
                <c:pt idx="371">
                  <c:v>711</c:v>
                </c:pt>
                <c:pt idx="372">
                  <c:v>734</c:v>
                </c:pt>
                <c:pt idx="373">
                  <c:v>988</c:v>
                </c:pt>
                <c:pt idx="374">
                  <c:v>211</c:v>
                </c:pt>
                <c:pt idx="375">
                  <c:v>577</c:v>
                </c:pt>
                <c:pt idx="376">
                  <c:v>1435</c:v>
                </c:pt>
                <c:pt idx="377">
                  <c:v>1125</c:v>
                </c:pt>
                <c:pt idx="378">
                  <c:v>499</c:v>
                </c:pt>
                <c:pt idx="379">
                  <c:v>1166</c:v>
                </c:pt>
                <c:pt idx="380">
                  <c:v>988</c:v>
                </c:pt>
                <c:pt idx="381">
                  <c:v>1336</c:v>
                </c:pt>
                <c:pt idx="382">
                  <c:v>594</c:v>
                </c:pt>
                <c:pt idx="383">
                  <c:v>1354</c:v>
                </c:pt>
                <c:pt idx="384">
                  <c:v>1458</c:v>
                </c:pt>
                <c:pt idx="385">
                  <c:v>1115</c:v>
                </c:pt>
                <c:pt idx="386">
                  <c:v>447</c:v>
                </c:pt>
                <c:pt idx="387">
                  <c:v>1312</c:v>
                </c:pt>
                <c:pt idx="388">
                  <c:v>817</c:v>
                </c:pt>
                <c:pt idx="389">
                  <c:v>344</c:v>
                </c:pt>
                <c:pt idx="390">
                  <c:v>1249</c:v>
                </c:pt>
                <c:pt idx="391">
                  <c:v>735</c:v>
                </c:pt>
                <c:pt idx="392">
                  <c:v>840</c:v>
                </c:pt>
                <c:pt idx="393">
                  <c:v>609</c:v>
                </c:pt>
                <c:pt idx="394">
                  <c:v>611</c:v>
                </c:pt>
                <c:pt idx="395">
                  <c:v>822</c:v>
                </c:pt>
                <c:pt idx="396">
                  <c:v>1400</c:v>
                </c:pt>
                <c:pt idx="397">
                  <c:v>1011</c:v>
                </c:pt>
                <c:pt idx="398">
                  <c:v>1023</c:v>
                </c:pt>
              </c:numCache>
            </c:numRef>
          </c:yVal>
          <c:smooth val="0"/>
          <c:extLst>
            <c:ext xmlns:c16="http://schemas.microsoft.com/office/drawing/2014/chart" uri="{C3380CC4-5D6E-409C-BE32-E72D297353CC}">
              <c16:uniqueId val="{00000001-0B45-4CE0-8DE3-4A1896D08947}"/>
            </c:ext>
          </c:extLst>
        </c:ser>
        <c:dLbls>
          <c:showLegendKey val="0"/>
          <c:showVal val="0"/>
          <c:showCatName val="0"/>
          <c:showSerName val="0"/>
          <c:showPercent val="0"/>
          <c:showBubbleSize val="0"/>
        </c:dLbls>
        <c:axId val="1935550304"/>
        <c:axId val="1935550784"/>
      </c:scatterChart>
      <c:valAx>
        <c:axId val="1935550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WSP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50784"/>
        <c:crosses val="autoZero"/>
        <c:crossBetween val="midCat"/>
      </c:valAx>
      <c:valAx>
        <c:axId val="193555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FHO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50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FHO vs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TRAIN_AGE!$A$2:$A$400</c:f>
              <c:numCache>
                <c:formatCode>General</c:formatCode>
                <c:ptCount val="399"/>
                <c:pt idx="0">
                  <c:v>237</c:v>
                </c:pt>
                <c:pt idx="1">
                  <c:v>63</c:v>
                </c:pt>
                <c:pt idx="2">
                  <c:v>43</c:v>
                </c:pt>
                <c:pt idx="3">
                  <c:v>448</c:v>
                </c:pt>
                <c:pt idx="4">
                  <c:v>64</c:v>
                </c:pt>
                <c:pt idx="5">
                  <c:v>83</c:v>
                </c:pt>
                <c:pt idx="6">
                  <c:v>169</c:v>
                </c:pt>
                <c:pt idx="7">
                  <c:v>644</c:v>
                </c:pt>
                <c:pt idx="8">
                  <c:v>306</c:v>
                </c:pt>
                <c:pt idx="9">
                  <c:v>48</c:v>
                </c:pt>
                <c:pt idx="10">
                  <c:v>1006</c:v>
                </c:pt>
                <c:pt idx="11">
                  <c:v>230</c:v>
                </c:pt>
                <c:pt idx="12">
                  <c:v>943</c:v>
                </c:pt>
                <c:pt idx="13">
                  <c:v>202</c:v>
                </c:pt>
                <c:pt idx="14">
                  <c:v>56</c:v>
                </c:pt>
                <c:pt idx="15">
                  <c:v>2587</c:v>
                </c:pt>
                <c:pt idx="16">
                  <c:v>266</c:v>
                </c:pt>
                <c:pt idx="17">
                  <c:v>620</c:v>
                </c:pt>
                <c:pt idx="18">
                  <c:v>118</c:v>
                </c:pt>
                <c:pt idx="19">
                  <c:v>1057</c:v>
                </c:pt>
                <c:pt idx="20">
                  <c:v>480</c:v>
                </c:pt>
                <c:pt idx="21">
                  <c:v>85</c:v>
                </c:pt>
                <c:pt idx="22">
                  <c:v>3014</c:v>
                </c:pt>
                <c:pt idx="23">
                  <c:v>216</c:v>
                </c:pt>
                <c:pt idx="24">
                  <c:v>262</c:v>
                </c:pt>
                <c:pt idx="25">
                  <c:v>1152</c:v>
                </c:pt>
                <c:pt idx="26">
                  <c:v>877</c:v>
                </c:pt>
                <c:pt idx="27">
                  <c:v>658</c:v>
                </c:pt>
                <c:pt idx="28">
                  <c:v>124</c:v>
                </c:pt>
                <c:pt idx="29">
                  <c:v>1162</c:v>
                </c:pt>
                <c:pt idx="30">
                  <c:v>222</c:v>
                </c:pt>
                <c:pt idx="31">
                  <c:v>319</c:v>
                </c:pt>
                <c:pt idx="32">
                  <c:v>25</c:v>
                </c:pt>
                <c:pt idx="33">
                  <c:v>178</c:v>
                </c:pt>
                <c:pt idx="34">
                  <c:v>136</c:v>
                </c:pt>
                <c:pt idx="35">
                  <c:v>44</c:v>
                </c:pt>
                <c:pt idx="36">
                  <c:v>687</c:v>
                </c:pt>
                <c:pt idx="37">
                  <c:v>97</c:v>
                </c:pt>
                <c:pt idx="38">
                  <c:v>99</c:v>
                </c:pt>
                <c:pt idx="39">
                  <c:v>591</c:v>
                </c:pt>
                <c:pt idx="40">
                  <c:v>139</c:v>
                </c:pt>
                <c:pt idx="41">
                  <c:v>651</c:v>
                </c:pt>
                <c:pt idx="42">
                  <c:v>805</c:v>
                </c:pt>
                <c:pt idx="43">
                  <c:v>247</c:v>
                </c:pt>
                <c:pt idx="44">
                  <c:v>82</c:v>
                </c:pt>
                <c:pt idx="45">
                  <c:v>62</c:v>
                </c:pt>
                <c:pt idx="46">
                  <c:v>101</c:v>
                </c:pt>
                <c:pt idx="47">
                  <c:v>353</c:v>
                </c:pt>
                <c:pt idx="48">
                  <c:v>854</c:v>
                </c:pt>
                <c:pt idx="49">
                  <c:v>371</c:v>
                </c:pt>
                <c:pt idx="50">
                  <c:v>124</c:v>
                </c:pt>
                <c:pt idx="51">
                  <c:v>195</c:v>
                </c:pt>
                <c:pt idx="52">
                  <c:v>169</c:v>
                </c:pt>
                <c:pt idx="53">
                  <c:v>385</c:v>
                </c:pt>
                <c:pt idx="54">
                  <c:v>328</c:v>
                </c:pt>
                <c:pt idx="55">
                  <c:v>168</c:v>
                </c:pt>
                <c:pt idx="56">
                  <c:v>450</c:v>
                </c:pt>
                <c:pt idx="57">
                  <c:v>130</c:v>
                </c:pt>
                <c:pt idx="58">
                  <c:v>10</c:v>
                </c:pt>
                <c:pt idx="59">
                  <c:v>569</c:v>
                </c:pt>
                <c:pt idx="60">
                  <c:v>419</c:v>
                </c:pt>
                <c:pt idx="61">
                  <c:v>2</c:v>
                </c:pt>
                <c:pt idx="62">
                  <c:v>4</c:v>
                </c:pt>
                <c:pt idx="63">
                  <c:v>606</c:v>
                </c:pt>
                <c:pt idx="64">
                  <c:v>144</c:v>
                </c:pt>
                <c:pt idx="65">
                  <c:v>1085</c:v>
                </c:pt>
                <c:pt idx="66">
                  <c:v>269</c:v>
                </c:pt>
                <c:pt idx="67">
                  <c:v>186</c:v>
                </c:pt>
                <c:pt idx="68">
                  <c:v>1630</c:v>
                </c:pt>
                <c:pt idx="69">
                  <c:v>827</c:v>
                </c:pt>
                <c:pt idx="70">
                  <c:v>58</c:v>
                </c:pt>
                <c:pt idx="71">
                  <c:v>89</c:v>
                </c:pt>
                <c:pt idx="72">
                  <c:v>335</c:v>
                </c:pt>
                <c:pt idx="73">
                  <c:v>496</c:v>
                </c:pt>
                <c:pt idx="74">
                  <c:v>1214</c:v>
                </c:pt>
                <c:pt idx="75">
                  <c:v>135</c:v>
                </c:pt>
                <c:pt idx="76">
                  <c:v>329</c:v>
                </c:pt>
                <c:pt idx="77">
                  <c:v>468</c:v>
                </c:pt>
                <c:pt idx="78">
                  <c:v>702</c:v>
                </c:pt>
                <c:pt idx="79">
                  <c:v>265</c:v>
                </c:pt>
                <c:pt idx="80">
                  <c:v>14</c:v>
                </c:pt>
                <c:pt idx="81">
                  <c:v>482</c:v>
                </c:pt>
                <c:pt idx="82">
                  <c:v>191</c:v>
                </c:pt>
                <c:pt idx="83">
                  <c:v>65</c:v>
                </c:pt>
                <c:pt idx="84">
                  <c:v>305</c:v>
                </c:pt>
                <c:pt idx="85">
                  <c:v>654</c:v>
                </c:pt>
                <c:pt idx="86">
                  <c:v>662</c:v>
                </c:pt>
                <c:pt idx="87">
                  <c:v>47</c:v>
                </c:pt>
                <c:pt idx="88">
                  <c:v>488</c:v>
                </c:pt>
                <c:pt idx="89">
                  <c:v>94</c:v>
                </c:pt>
                <c:pt idx="90">
                  <c:v>19</c:v>
                </c:pt>
                <c:pt idx="91">
                  <c:v>22</c:v>
                </c:pt>
                <c:pt idx="92">
                  <c:v>1649</c:v>
                </c:pt>
                <c:pt idx="93">
                  <c:v>396</c:v>
                </c:pt>
                <c:pt idx="94">
                  <c:v>54</c:v>
                </c:pt>
                <c:pt idx="95">
                  <c:v>1318</c:v>
                </c:pt>
                <c:pt idx="96">
                  <c:v>284</c:v>
                </c:pt>
                <c:pt idx="97">
                  <c:v>112</c:v>
                </c:pt>
                <c:pt idx="98">
                  <c:v>87</c:v>
                </c:pt>
                <c:pt idx="99">
                  <c:v>29</c:v>
                </c:pt>
                <c:pt idx="100">
                  <c:v>504</c:v>
                </c:pt>
                <c:pt idx="101">
                  <c:v>2226</c:v>
                </c:pt>
                <c:pt idx="102">
                  <c:v>86</c:v>
                </c:pt>
                <c:pt idx="103">
                  <c:v>44</c:v>
                </c:pt>
                <c:pt idx="104">
                  <c:v>160</c:v>
                </c:pt>
                <c:pt idx="105">
                  <c:v>87</c:v>
                </c:pt>
                <c:pt idx="106">
                  <c:v>6</c:v>
                </c:pt>
                <c:pt idx="107">
                  <c:v>19</c:v>
                </c:pt>
                <c:pt idx="108">
                  <c:v>760</c:v>
                </c:pt>
                <c:pt idx="109">
                  <c:v>40</c:v>
                </c:pt>
                <c:pt idx="110">
                  <c:v>181</c:v>
                </c:pt>
                <c:pt idx="111">
                  <c:v>271</c:v>
                </c:pt>
                <c:pt idx="112">
                  <c:v>110</c:v>
                </c:pt>
                <c:pt idx="113">
                  <c:v>1229</c:v>
                </c:pt>
                <c:pt idx="114">
                  <c:v>811</c:v>
                </c:pt>
                <c:pt idx="115">
                  <c:v>222</c:v>
                </c:pt>
                <c:pt idx="116">
                  <c:v>158</c:v>
                </c:pt>
                <c:pt idx="117">
                  <c:v>773</c:v>
                </c:pt>
                <c:pt idx="118">
                  <c:v>588</c:v>
                </c:pt>
                <c:pt idx="119">
                  <c:v>297</c:v>
                </c:pt>
                <c:pt idx="120">
                  <c:v>131</c:v>
                </c:pt>
                <c:pt idx="121">
                  <c:v>80</c:v>
                </c:pt>
                <c:pt idx="122">
                  <c:v>294</c:v>
                </c:pt>
                <c:pt idx="123">
                  <c:v>301</c:v>
                </c:pt>
                <c:pt idx="124">
                  <c:v>747</c:v>
                </c:pt>
                <c:pt idx="125">
                  <c:v>123</c:v>
                </c:pt>
                <c:pt idx="126">
                  <c:v>211</c:v>
                </c:pt>
                <c:pt idx="127">
                  <c:v>310</c:v>
                </c:pt>
                <c:pt idx="128">
                  <c:v>52</c:v>
                </c:pt>
                <c:pt idx="129">
                  <c:v>30</c:v>
                </c:pt>
                <c:pt idx="130">
                  <c:v>51</c:v>
                </c:pt>
                <c:pt idx="131">
                  <c:v>143</c:v>
                </c:pt>
                <c:pt idx="132">
                  <c:v>205</c:v>
                </c:pt>
                <c:pt idx="133">
                  <c:v>138</c:v>
                </c:pt>
                <c:pt idx="134">
                  <c:v>21</c:v>
                </c:pt>
                <c:pt idx="135">
                  <c:v>80</c:v>
                </c:pt>
                <c:pt idx="136">
                  <c:v>730</c:v>
                </c:pt>
                <c:pt idx="137">
                  <c:v>57</c:v>
                </c:pt>
                <c:pt idx="138">
                  <c:v>60</c:v>
                </c:pt>
                <c:pt idx="139">
                  <c:v>698</c:v>
                </c:pt>
                <c:pt idx="140">
                  <c:v>938</c:v>
                </c:pt>
                <c:pt idx="141">
                  <c:v>226</c:v>
                </c:pt>
                <c:pt idx="142">
                  <c:v>114</c:v>
                </c:pt>
                <c:pt idx="143">
                  <c:v>484</c:v>
                </c:pt>
                <c:pt idx="144">
                  <c:v>384</c:v>
                </c:pt>
                <c:pt idx="145">
                  <c:v>1329</c:v>
                </c:pt>
                <c:pt idx="146">
                  <c:v>48</c:v>
                </c:pt>
                <c:pt idx="147">
                  <c:v>499</c:v>
                </c:pt>
                <c:pt idx="148">
                  <c:v>823</c:v>
                </c:pt>
                <c:pt idx="149">
                  <c:v>468</c:v>
                </c:pt>
                <c:pt idx="150">
                  <c:v>564</c:v>
                </c:pt>
                <c:pt idx="151">
                  <c:v>275</c:v>
                </c:pt>
                <c:pt idx="152">
                  <c:v>33</c:v>
                </c:pt>
                <c:pt idx="153">
                  <c:v>256</c:v>
                </c:pt>
                <c:pt idx="154">
                  <c:v>224</c:v>
                </c:pt>
                <c:pt idx="155">
                  <c:v>1</c:v>
                </c:pt>
                <c:pt idx="156">
                  <c:v>115</c:v>
                </c:pt>
                <c:pt idx="157">
                  <c:v>274</c:v>
                </c:pt>
                <c:pt idx="158">
                  <c:v>137</c:v>
                </c:pt>
                <c:pt idx="159">
                  <c:v>1019</c:v>
                </c:pt>
                <c:pt idx="160">
                  <c:v>50</c:v>
                </c:pt>
                <c:pt idx="161">
                  <c:v>439</c:v>
                </c:pt>
                <c:pt idx="162">
                  <c:v>286</c:v>
                </c:pt>
                <c:pt idx="163">
                  <c:v>96</c:v>
                </c:pt>
                <c:pt idx="164">
                  <c:v>423</c:v>
                </c:pt>
                <c:pt idx="165">
                  <c:v>108</c:v>
                </c:pt>
                <c:pt idx="166">
                  <c:v>48</c:v>
                </c:pt>
                <c:pt idx="167">
                  <c:v>605</c:v>
                </c:pt>
                <c:pt idx="168">
                  <c:v>177</c:v>
                </c:pt>
                <c:pt idx="169">
                  <c:v>142</c:v>
                </c:pt>
                <c:pt idx="170">
                  <c:v>45</c:v>
                </c:pt>
                <c:pt idx="171">
                  <c:v>1644</c:v>
                </c:pt>
                <c:pt idx="172">
                  <c:v>599</c:v>
                </c:pt>
                <c:pt idx="173">
                  <c:v>158</c:v>
                </c:pt>
                <c:pt idx="174">
                  <c:v>119</c:v>
                </c:pt>
                <c:pt idx="175">
                  <c:v>180</c:v>
                </c:pt>
                <c:pt idx="176">
                  <c:v>76</c:v>
                </c:pt>
                <c:pt idx="177">
                  <c:v>20</c:v>
                </c:pt>
                <c:pt idx="178">
                  <c:v>282</c:v>
                </c:pt>
                <c:pt idx="179">
                  <c:v>320</c:v>
                </c:pt>
                <c:pt idx="180">
                  <c:v>3</c:v>
                </c:pt>
                <c:pt idx="181">
                  <c:v>300</c:v>
                </c:pt>
                <c:pt idx="182">
                  <c:v>283</c:v>
                </c:pt>
                <c:pt idx="183">
                  <c:v>135</c:v>
                </c:pt>
                <c:pt idx="184">
                  <c:v>595</c:v>
                </c:pt>
                <c:pt idx="185">
                  <c:v>211</c:v>
                </c:pt>
                <c:pt idx="186">
                  <c:v>48</c:v>
                </c:pt>
                <c:pt idx="187">
                  <c:v>77</c:v>
                </c:pt>
                <c:pt idx="188">
                  <c:v>258</c:v>
                </c:pt>
                <c:pt idx="189">
                  <c:v>206</c:v>
                </c:pt>
                <c:pt idx="190">
                  <c:v>958</c:v>
                </c:pt>
                <c:pt idx="191">
                  <c:v>12</c:v>
                </c:pt>
                <c:pt idx="192">
                  <c:v>349</c:v>
                </c:pt>
                <c:pt idx="193">
                  <c:v>1219</c:v>
                </c:pt>
                <c:pt idx="194">
                  <c:v>92</c:v>
                </c:pt>
                <c:pt idx="195">
                  <c:v>1370</c:v>
                </c:pt>
                <c:pt idx="196">
                  <c:v>612</c:v>
                </c:pt>
                <c:pt idx="197">
                  <c:v>62</c:v>
                </c:pt>
                <c:pt idx="198">
                  <c:v>211</c:v>
                </c:pt>
                <c:pt idx="199">
                  <c:v>253</c:v>
                </c:pt>
                <c:pt idx="200">
                  <c:v>60</c:v>
                </c:pt>
                <c:pt idx="201">
                  <c:v>425</c:v>
                </c:pt>
                <c:pt idx="202">
                  <c:v>2962</c:v>
                </c:pt>
                <c:pt idx="203">
                  <c:v>263</c:v>
                </c:pt>
                <c:pt idx="204">
                  <c:v>1491</c:v>
                </c:pt>
                <c:pt idx="205">
                  <c:v>13</c:v>
                </c:pt>
                <c:pt idx="206">
                  <c:v>145</c:v>
                </c:pt>
                <c:pt idx="207">
                  <c:v>1437</c:v>
                </c:pt>
                <c:pt idx="208">
                  <c:v>3</c:v>
                </c:pt>
                <c:pt idx="209">
                  <c:v>1454</c:v>
                </c:pt>
                <c:pt idx="210">
                  <c:v>112</c:v>
                </c:pt>
                <c:pt idx="211">
                  <c:v>132</c:v>
                </c:pt>
                <c:pt idx="212">
                  <c:v>5</c:v>
                </c:pt>
                <c:pt idx="213">
                  <c:v>398</c:v>
                </c:pt>
                <c:pt idx="214">
                  <c:v>121</c:v>
                </c:pt>
                <c:pt idx="215">
                  <c:v>86</c:v>
                </c:pt>
                <c:pt idx="216">
                  <c:v>269</c:v>
                </c:pt>
                <c:pt idx="217">
                  <c:v>111</c:v>
                </c:pt>
                <c:pt idx="218">
                  <c:v>269</c:v>
                </c:pt>
                <c:pt idx="219">
                  <c:v>180</c:v>
                </c:pt>
                <c:pt idx="220">
                  <c:v>184</c:v>
                </c:pt>
                <c:pt idx="221">
                  <c:v>546</c:v>
                </c:pt>
                <c:pt idx="222">
                  <c:v>906</c:v>
                </c:pt>
                <c:pt idx="223">
                  <c:v>1121</c:v>
                </c:pt>
                <c:pt idx="224">
                  <c:v>190</c:v>
                </c:pt>
                <c:pt idx="225">
                  <c:v>6</c:v>
                </c:pt>
                <c:pt idx="226">
                  <c:v>591</c:v>
                </c:pt>
                <c:pt idx="227">
                  <c:v>1172</c:v>
                </c:pt>
                <c:pt idx="228">
                  <c:v>881</c:v>
                </c:pt>
                <c:pt idx="229">
                  <c:v>230</c:v>
                </c:pt>
                <c:pt idx="230">
                  <c:v>76</c:v>
                </c:pt>
                <c:pt idx="231">
                  <c:v>926</c:v>
                </c:pt>
                <c:pt idx="232">
                  <c:v>2691</c:v>
                </c:pt>
                <c:pt idx="233">
                  <c:v>15</c:v>
                </c:pt>
                <c:pt idx="234">
                  <c:v>244</c:v>
                </c:pt>
                <c:pt idx="235">
                  <c:v>12</c:v>
                </c:pt>
                <c:pt idx="236">
                  <c:v>707</c:v>
                </c:pt>
                <c:pt idx="237">
                  <c:v>140</c:v>
                </c:pt>
                <c:pt idx="238">
                  <c:v>76</c:v>
                </c:pt>
                <c:pt idx="239">
                  <c:v>19</c:v>
                </c:pt>
                <c:pt idx="240">
                  <c:v>112</c:v>
                </c:pt>
                <c:pt idx="241">
                  <c:v>162</c:v>
                </c:pt>
                <c:pt idx="242">
                  <c:v>262</c:v>
                </c:pt>
                <c:pt idx="243">
                  <c:v>21</c:v>
                </c:pt>
                <c:pt idx="244">
                  <c:v>196</c:v>
                </c:pt>
                <c:pt idx="245">
                  <c:v>31</c:v>
                </c:pt>
                <c:pt idx="246">
                  <c:v>58</c:v>
                </c:pt>
                <c:pt idx="247">
                  <c:v>166</c:v>
                </c:pt>
                <c:pt idx="248">
                  <c:v>232</c:v>
                </c:pt>
                <c:pt idx="249">
                  <c:v>250</c:v>
                </c:pt>
                <c:pt idx="250">
                  <c:v>221</c:v>
                </c:pt>
                <c:pt idx="251">
                  <c:v>1571</c:v>
                </c:pt>
                <c:pt idx="252">
                  <c:v>140</c:v>
                </c:pt>
                <c:pt idx="253">
                  <c:v>33</c:v>
                </c:pt>
                <c:pt idx="254">
                  <c:v>274</c:v>
                </c:pt>
                <c:pt idx="255">
                  <c:v>338</c:v>
                </c:pt>
                <c:pt idx="256">
                  <c:v>660</c:v>
                </c:pt>
                <c:pt idx="257">
                  <c:v>534</c:v>
                </c:pt>
                <c:pt idx="258">
                  <c:v>393</c:v>
                </c:pt>
                <c:pt idx="259">
                  <c:v>330</c:v>
                </c:pt>
                <c:pt idx="260">
                  <c:v>1278</c:v>
                </c:pt>
                <c:pt idx="261">
                  <c:v>204</c:v>
                </c:pt>
                <c:pt idx="262">
                  <c:v>600</c:v>
                </c:pt>
                <c:pt idx="263">
                  <c:v>188</c:v>
                </c:pt>
                <c:pt idx="264">
                  <c:v>117</c:v>
                </c:pt>
                <c:pt idx="265">
                  <c:v>598</c:v>
                </c:pt>
                <c:pt idx="266">
                  <c:v>165</c:v>
                </c:pt>
                <c:pt idx="267">
                  <c:v>197</c:v>
                </c:pt>
                <c:pt idx="268">
                  <c:v>375</c:v>
                </c:pt>
                <c:pt idx="269">
                  <c:v>297</c:v>
                </c:pt>
                <c:pt idx="270">
                  <c:v>734</c:v>
                </c:pt>
                <c:pt idx="271">
                  <c:v>113</c:v>
                </c:pt>
                <c:pt idx="272">
                  <c:v>138</c:v>
                </c:pt>
                <c:pt idx="273">
                  <c:v>372</c:v>
                </c:pt>
                <c:pt idx="274">
                  <c:v>1307</c:v>
                </c:pt>
                <c:pt idx="275">
                  <c:v>581</c:v>
                </c:pt>
                <c:pt idx="276">
                  <c:v>131</c:v>
                </c:pt>
                <c:pt idx="277">
                  <c:v>230</c:v>
                </c:pt>
                <c:pt idx="278">
                  <c:v>402</c:v>
                </c:pt>
                <c:pt idx="279">
                  <c:v>235</c:v>
                </c:pt>
                <c:pt idx="280">
                  <c:v>1154</c:v>
                </c:pt>
                <c:pt idx="281">
                  <c:v>262</c:v>
                </c:pt>
                <c:pt idx="282">
                  <c:v>459</c:v>
                </c:pt>
                <c:pt idx="283">
                  <c:v>234</c:v>
                </c:pt>
                <c:pt idx="284">
                  <c:v>67</c:v>
                </c:pt>
                <c:pt idx="285">
                  <c:v>115</c:v>
                </c:pt>
                <c:pt idx="286">
                  <c:v>54</c:v>
                </c:pt>
                <c:pt idx="287">
                  <c:v>376</c:v>
                </c:pt>
                <c:pt idx="288">
                  <c:v>789</c:v>
                </c:pt>
                <c:pt idx="289">
                  <c:v>51</c:v>
                </c:pt>
                <c:pt idx="290">
                  <c:v>238</c:v>
                </c:pt>
                <c:pt idx="291">
                  <c:v>111</c:v>
                </c:pt>
                <c:pt idx="292">
                  <c:v>1877</c:v>
                </c:pt>
                <c:pt idx="293">
                  <c:v>649</c:v>
                </c:pt>
                <c:pt idx="294">
                  <c:v>559</c:v>
                </c:pt>
                <c:pt idx="295">
                  <c:v>351</c:v>
                </c:pt>
                <c:pt idx="296">
                  <c:v>895</c:v>
                </c:pt>
                <c:pt idx="297">
                  <c:v>71</c:v>
                </c:pt>
                <c:pt idx="298">
                  <c:v>2401</c:v>
                </c:pt>
                <c:pt idx="299">
                  <c:v>71</c:v>
                </c:pt>
                <c:pt idx="300">
                  <c:v>68</c:v>
                </c:pt>
                <c:pt idx="301">
                  <c:v>75</c:v>
                </c:pt>
                <c:pt idx="302">
                  <c:v>203</c:v>
                </c:pt>
                <c:pt idx="303">
                  <c:v>272</c:v>
                </c:pt>
                <c:pt idx="304">
                  <c:v>89</c:v>
                </c:pt>
                <c:pt idx="305">
                  <c:v>482</c:v>
                </c:pt>
                <c:pt idx="306">
                  <c:v>247</c:v>
                </c:pt>
                <c:pt idx="307">
                  <c:v>1034</c:v>
                </c:pt>
                <c:pt idx="308">
                  <c:v>15</c:v>
                </c:pt>
                <c:pt idx="309">
                  <c:v>70</c:v>
                </c:pt>
                <c:pt idx="310">
                  <c:v>84</c:v>
                </c:pt>
                <c:pt idx="311">
                  <c:v>64</c:v>
                </c:pt>
                <c:pt idx="312">
                  <c:v>251</c:v>
                </c:pt>
                <c:pt idx="313">
                  <c:v>122</c:v>
                </c:pt>
                <c:pt idx="314">
                  <c:v>92</c:v>
                </c:pt>
                <c:pt idx="315">
                  <c:v>555</c:v>
                </c:pt>
                <c:pt idx="316">
                  <c:v>85</c:v>
                </c:pt>
                <c:pt idx="317">
                  <c:v>160</c:v>
                </c:pt>
                <c:pt idx="318">
                  <c:v>191</c:v>
                </c:pt>
                <c:pt idx="319">
                  <c:v>2726</c:v>
                </c:pt>
                <c:pt idx="320">
                  <c:v>81</c:v>
                </c:pt>
                <c:pt idx="321">
                  <c:v>170</c:v>
                </c:pt>
                <c:pt idx="322">
                  <c:v>577</c:v>
                </c:pt>
                <c:pt idx="323">
                  <c:v>653</c:v>
                </c:pt>
                <c:pt idx="324">
                  <c:v>573</c:v>
                </c:pt>
                <c:pt idx="325">
                  <c:v>4475</c:v>
                </c:pt>
                <c:pt idx="326">
                  <c:v>23</c:v>
                </c:pt>
                <c:pt idx="327">
                  <c:v>1595</c:v>
                </c:pt>
                <c:pt idx="328">
                  <c:v>3</c:v>
                </c:pt>
                <c:pt idx="329">
                  <c:v>18</c:v>
                </c:pt>
                <c:pt idx="330">
                  <c:v>198</c:v>
                </c:pt>
                <c:pt idx="331">
                  <c:v>694</c:v>
                </c:pt>
                <c:pt idx="332">
                  <c:v>374</c:v>
                </c:pt>
                <c:pt idx="333">
                  <c:v>316</c:v>
                </c:pt>
                <c:pt idx="334">
                  <c:v>50</c:v>
                </c:pt>
                <c:pt idx="335">
                  <c:v>1805</c:v>
                </c:pt>
                <c:pt idx="336">
                  <c:v>330</c:v>
                </c:pt>
                <c:pt idx="337">
                  <c:v>108</c:v>
                </c:pt>
                <c:pt idx="338">
                  <c:v>743</c:v>
                </c:pt>
                <c:pt idx="339">
                  <c:v>68</c:v>
                </c:pt>
                <c:pt idx="340">
                  <c:v>361</c:v>
                </c:pt>
                <c:pt idx="341">
                  <c:v>233</c:v>
                </c:pt>
                <c:pt idx="342">
                  <c:v>833</c:v>
                </c:pt>
                <c:pt idx="343">
                  <c:v>707</c:v>
                </c:pt>
                <c:pt idx="344">
                  <c:v>618</c:v>
                </c:pt>
                <c:pt idx="345">
                  <c:v>2030</c:v>
                </c:pt>
                <c:pt idx="346">
                  <c:v>191</c:v>
                </c:pt>
                <c:pt idx="347">
                  <c:v>80</c:v>
                </c:pt>
                <c:pt idx="348">
                  <c:v>75</c:v>
                </c:pt>
                <c:pt idx="349">
                  <c:v>163</c:v>
                </c:pt>
                <c:pt idx="350">
                  <c:v>73</c:v>
                </c:pt>
                <c:pt idx="351">
                  <c:v>1186</c:v>
                </c:pt>
                <c:pt idx="352">
                  <c:v>236</c:v>
                </c:pt>
                <c:pt idx="353">
                  <c:v>5263</c:v>
                </c:pt>
                <c:pt idx="354">
                  <c:v>583</c:v>
                </c:pt>
                <c:pt idx="355">
                  <c:v>326</c:v>
                </c:pt>
                <c:pt idx="356">
                  <c:v>382</c:v>
                </c:pt>
                <c:pt idx="357">
                  <c:v>3246</c:v>
                </c:pt>
                <c:pt idx="358">
                  <c:v>226</c:v>
                </c:pt>
                <c:pt idx="359">
                  <c:v>2492</c:v>
                </c:pt>
                <c:pt idx="360">
                  <c:v>8</c:v>
                </c:pt>
                <c:pt idx="361">
                  <c:v>151</c:v>
                </c:pt>
                <c:pt idx="362">
                  <c:v>466</c:v>
                </c:pt>
                <c:pt idx="363">
                  <c:v>50</c:v>
                </c:pt>
                <c:pt idx="364">
                  <c:v>29</c:v>
                </c:pt>
                <c:pt idx="365">
                  <c:v>266</c:v>
                </c:pt>
                <c:pt idx="366">
                  <c:v>2229</c:v>
                </c:pt>
                <c:pt idx="367">
                  <c:v>13</c:v>
                </c:pt>
                <c:pt idx="368">
                  <c:v>5407</c:v>
                </c:pt>
                <c:pt idx="369">
                  <c:v>409</c:v>
                </c:pt>
                <c:pt idx="370">
                  <c:v>380</c:v>
                </c:pt>
                <c:pt idx="371">
                  <c:v>745</c:v>
                </c:pt>
                <c:pt idx="372">
                  <c:v>12</c:v>
                </c:pt>
                <c:pt idx="373">
                  <c:v>508</c:v>
                </c:pt>
                <c:pt idx="374">
                  <c:v>93</c:v>
                </c:pt>
                <c:pt idx="375">
                  <c:v>53</c:v>
                </c:pt>
                <c:pt idx="376">
                  <c:v>1741</c:v>
                </c:pt>
                <c:pt idx="377">
                  <c:v>414</c:v>
                </c:pt>
                <c:pt idx="378">
                  <c:v>503</c:v>
                </c:pt>
                <c:pt idx="379">
                  <c:v>692</c:v>
                </c:pt>
                <c:pt idx="380">
                  <c:v>934</c:v>
                </c:pt>
                <c:pt idx="381">
                  <c:v>359</c:v>
                </c:pt>
                <c:pt idx="382">
                  <c:v>166</c:v>
                </c:pt>
                <c:pt idx="383">
                  <c:v>1071</c:v>
                </c:pt>
                <c:pt idx="384">
                  <c:v>2548</c:v>
                </c:pt>
                <c:pt idx="385">
                  <c:v>632</c:v>
                </c:pt>
                <c:pt idx="386">
                  <c:v>404</c:v>
                </c:pt>
                <c:pt idx="387">
                  <c:v>234</c:v>
                </c:pt>
                <c:pt idx="388">
                  <c:v>111</c:v>
                </c:pt>
                <c:pt idx="389">
                  <c:v>539</c:v>
                </c:pt>
                <c:pt idx="390">
                  <c:v>266</c:v>
                </c:pt>
                <c:pt idx="391">
                  <c:v>876</c:v>
                </c:pt>
                <c:pt idx="392">
                  <c:v>176</c:v>
                </c:pt>
                <c:pt idx="393">
                  <c:v>43</c:v>
                </c:pt>
                <c:pt idx="394">
                  <c:v>56</c:v>
                </c:pt>
                <c:pt idx="395">
                  <c:v>11</c:v>
                </c:pt>
                <c:pt idx="396">
                  <c:v>2329</c:v>
                </c:pt>
                <c:pt idx="397">
                  <c:v>395</c:v>
                </c:pt>
                <c:pt idx="398">
                  <c:v>122</c:v>
                </c:pt>
              </c:numCache>
            </c:numRef>
          </c:xVal>
          <c:yVal>
            <c:numRef>
              <c:f>TRAIN_AGE!$B$2:$B$400</c:f>
              <c:numCache>
                <c:formatCode>General</c:formatCode>
                <c:ptCount val="399"/>
                <c:pt idx="0">
                  <c:v>1060</c:v>
                </c:pt>
                <c:pt idx="1">
                  <c:v>691</c:v>
                </c:pt>
                <c:pt idx="2">
                  <c:v>589</c:v>
                </c:pt>
                <c:pt idx="3">
                  <c:v>692</c:v>
                </c:pt>
                <c:pt idx="4">
                  <c:v>741</c:v>
                </c:pt>
                <c:pt idx="5">
                  <c:v>684</c:v>
                </c:pt>
                <c:pt idx="6">
                  <c:v>1046</c:v>
                </c:pt>
                <c:pt idx="7">
                  <c:v>624</c:v>
                </c:pt>
                <c:pt idx="8">
                  <c:v>812</c:v>
                </c:pt>
                <c:pt idx="9">
                  <c:v>816</c:v>
                </c:pt>
                <c:pt idx="10">
                  <c:v>1460</c:v>
                </c:pt>
                <c:pt idx="11">
                  <c:v>772</c:v>
                </c:pt>
                <c:pt idx="12">
                  <c:v>1541</c:v>
                </c:pt>
                <c:pt idx="13">
                  <c:v>493</c:v>
                </c:pt>
                <c:pt idx="14">
                  <c:v>644</c:v>
                </c:pt>
                <c:pt idx="15">
                  <c:v>1738</c:v>
                </c:pt>
                <c:pt idx="16">
                  <c:v>618</c:v>
                </c:pt>
                <c:pt idx="17">
                  <c:v>1415</c:v>
                </c:pt>
                <c:pt idx="18">
                  <c:v>753</c:v>
                </c:pt>
                <c:pt idx="19">
                  <c:v>1212</c:v>
                </c:pt>
                <c:pt idx="20">
                  <c:v>578</c:v>
                </c:pt>
                <c:pt idx="21">
                  <c:v>777</c:v>
                </c:pt>
                <c:pt idx="22">
                  <c:v>1732</c:v>
                </c:pt>
                <c:pt idx="23">
                  <c:v>664</c:v>
                </c:pt>
                <c:pt idx="24">
                  <c:v>858</c:v>
                </c:pt>
                <c:pt idx="25">
                  <c:v>1092</c:v>
                </c:pt>
                <c:pt idx="26">
                  <c:v>749</c:v>
                </c:pt>
                <c:pt idx="27">
                  <c:v>1136</c:v>
                </c:pt>
                <c:pt idx="28">
                  <c:v>1097</c:v>
                </c:pt>
                <c:pt idx="29">
                  <c:v>926</c:v>
                </c:pt>
                <c:pt idx="30">
                  <c:v>890</c:v>
                </c:pt>
                <c:pt idx="31">
                  <c:v>500</c:v>
                </c:pt>
                <c:pt idx="32">
                  <c:v>908</c:v>
                </c:pt>
                <c:pt idx="33">
                  <c:v>636</c:v>
                </c:pt>
                <c:pt idx="34">
                  <c:v>606</c:v>
                </c:pt>
                <c:pt idx="35">
                  <c:v>919</c:v>
                </c:pt>
                <c:pt idx="36">
                  <c:v>1240</c:v>
                </c:pt>
                <c:pt idx="37">
                  <c:v>518</c:v>
                </c:pt>
                <c:pt idx="38">
                  <c:v>760</c:v>
                </c:pt>
                <c:pt idx="39">
                  <c:v>1051</c:v>
                </c:pt>
                <c:pt idx="40">
                  <c:v>881</c:v>
                </c:pt>
                <c:pt idx="41">
                  <c:v>1307</c:v>
                </c:pt>
                <c:pt idx="42">
                  <c:v>1005</c:v>
                </c:pt>
                <c:pt idx="43">
                  <c:v>666</c:v>
                </c:pt>
                <c:pt idx="44">
                  <c:v>777</c:v>
                </c:pt>
                <c:pt idx="45">
                  <c:v>533</c:v>
                </c:pt>
                <c:pt idx="46">
                  <c:v>581</c:v>
                </c:pt>
                <c:pt idx="47">
                  <c:v>1022</c:v>
                </c:pt>
                <c:pt idx="48">
                  <c:v>1364</c:v>
                </c:pt>
                <c:pt idx="49">
                  <c:v>934</c:v>
                </c:pt>
                <c:pt idx="50">
                  <c:v>474</c:v>
                </c:pt>
                <c:pt idx="51">
                  <c:v>853</c:v>
                </c:pt>
                <c:pt idx="52">
                  <c:v>706</c:v>
                </c:pt>
                <c:pt idx="53">
                  <c:v>1464</c:v>
                </c:pt>
                <c:pt idx="54">
                  <c:v>869</c:v>
                </c:pt>
                <c:pt idx="55">
                  <c:v>1195</c:v>
                </c:pt>
                <c:pt idx="56">
                  <c:v>776</c:v>
                </c:pt>
                <c:pt idx="57">
                  <c:v>1003</c:v>
                </c:pt>
                <c:pt idx="58">
                  <c:v>789</c:v>
                </c:pt>
                <c:pt idx="59">
                  <c:v>835</c:v>
                </c:pt>
                <c:pt idx="60">
                  <c:v>920</c:v>
                </c:pt>
                <c:pt idx="61">
                  <c:v>494</c:v>
                </c:pt>
                <c:pt idx="62">
                  <c:v>289</c:v>
                </c:pt>
                <c:pt idx="63">
                  <c:v>1000</c:v>
                </c:pt>
                <c:pt idx="64">
                  <c:v>274</c:v>
                </c:pt>
                <c:pt idx="65">
                  <c:v>1430</c:v>
                </c:pt>
                <c:pt idx="66">
                  <c:v>687</c:v>
                </c:pt>
                <c:pt idx="67">
                  <c:v>747</c:v>
                </c:pt>
                <c:pt idx="68">
                  <c:v>1504</c:v>
                </c:pt>
                <c:pt idx="69">
                  <c:v>1374</c:v>
                </c:pt>
                <c:pt idx="70">
                  <c:v>683</c:v>
                </c:pt>
                <c:pt idx="71">
                  <c:v>237</c:v>
                </c:pt>
                <c:pt idx="72">
                  <c:v>1353</c:v>
                </c:pt>
                <c:pt idx="73">
                  <c:v>1142</c:v>
                </c:pt>
                <c:pt idx="74">
                  <c:v>1391</c:v>
                </c:pt>
                <c:pt idx="75">
                  <c:v>756</c:v>
                </c:pt>
                <c:pt idx="76">
                  <c:v>1104</c:v>
                </c:pt>
                <c:pt idx="77">
                  <c:v>1076</c:v>
                </c:pt>
                <c:pt idx="78">
                  <c:v>1013</c:v>
                </c:pt>
                <c:pt idx="79">
                  <c:v>430</c:v>
                </c:pt>
                <c:pt idx="80">
                  <c:v>474</c:v>
                </c:pt>
                <c:pt idx="81">
                  <c:v>1249</c:v>
                </c:pt>
                <c:pt idx="82">
                  <c:v>923</c:v>
                </c:pt>
                <c:pt idx="83">
                  <c:v>766</c:v>
                </c:pt>
                <c:pt idx="84">
                  <c:v>1340</c:v>
                </c:pt>
                <c:pt idx="85">
                  <c:v>1302</c:v>
                </c:pt>
                <c:pt idx="86">
                  <c:v>1212</c:v>
                </c:pt>
                <c:pt idx="87">
                  <c:v>717</c:v>
                </c:pt>
                <c:pt idx="88">
                  <c:v>1155</c:v>
                </c:pt>
                <c:pt idx="89">
                  <c:v>618</c:v>
                </c:pt>
                <c:pt idx="90">
                  <c:v>551</c:v>
                </c:pt>
                <c:pt idx="91">
                  <c:v>553</c:v>
                </c:pt>
                <c:pt idx="92">
                  <c:v>968</c:v>
                </c:pt>
                <c:pt idx="93">
                  <c:v>996</c:v>
                </c:pt>
                <c:pt idx="94">
                  <c:v>819</c:v>
                </c:pt>
                <c:pt idx="95">
                  <c:v>1127</c:v>
                </c:pt>
                <c:pt idx="96">
                  <c:v>858</c:v>
                </c:pt>
                <c:pt idx="97">
                  <c:v>786</c:v>
                </c:pt>
                <c:pt idx="98">
                  <c:v>899</c:v>
                </c:pt>
                <c:pt idx="99">
                  <c:v>526</c:v>
                </c:pt>
                <c:pt idx="100">
                  <c:v>1104</c:v>
                </c:pt>
                <c:pt idx="101">
                  <c:v>1347</c:v>
                </c:pt>
                <c:pt idx="102">
                  <c:v>815</c:v>
                </c:pt>
                <c:pt idx="103">
                  <c:v>1113</c:v>
                </c:pt>
                <c:pt idx="104">
                  <c:v>1427</c:v>
                </c:pt>
                <c:pt idx="105">
                  <c:v>743</c:v>
                </c:pt>
                <c:pt idx="106">
                  <c:v>724</c:v>
                </c:pt>
                <c:pt idx="107">
                  <c:v>344</c:v>
                </c:pt>
                <c:pt idx="108">
                  <c:v>1089</c:v>
                </c:pt>
                <c:pt idx="109">
                  <c:v>839</c:v>
                </c:pt>
                <c:pt idx="110">
                  <c:v>200</c:v>
                </c:pt>
                <c:pt idx="111">
                  <c:v>837</c:v>
                </c:pt>
                <c:pt idx="112">
                  <c:v>790</c:v>
                </c:pt>
                <c:pt idx="113">
                  <c:v>1083</c:v>
                </c:pt>
                <c:pt idx="114">
                  <c:v>705</c:v>
                </c:pt>
                <c:pt idx="115">
                  <c:v>794</c:v>
                </c:pt>
                <c:pt idx="116">
                  <c:v>865</c:v>
                </c:pt>
                <c:pt idx="117">
                  <c:v>848</c:v>
                </c:pt>
                <c:pt idx="118">
                  <c:v>1370</c:v>
                </c:pt>
                <c:pt idx="119">
                  <c:v>969</c:v>
                </c:pt>
                <c:pt idx="120">
                  <c:v>637</c:v>
                </c:pt>
                <c:pt idx="121">
                  <c:v>557</c:v>
                </c:pt>
                <c:pt idx="122">
                  <c:v>921</c:v>
                </c:pt>
                <c:pt idx="123">
                  <c:v>582</c:v>
                </c:pt>
                <c:pt idx="124">
                  <c:v>1132</c:v>
                </c:pt>
                <c:pt idx="125">
                  <c:v>1079</c:v>
                </c:pt>
                <c:pt idx="126">
                  <c:v>1249</c:v>
                </c:pt>
                <c:pt idx="127">
                  <c:v>1051</c:v>
                </c:pt>
                <c:pt idx="128">
                  <c:v>257</c:v>
                </c:pt>
                <c:pt idx="129">
                  <c:v>334</c:v>
                </c:pt>
                <c:pt idx="130">
                  <c:v>621</c:v>
                </c:pt>
                <c:pt idx="131">
                  <c:v>838</c:v>
                </c:pt>
                <c:pt idx="132">
                  <c:v>423</c:v>
                </c:pt>
                <c:pt idx="133">
                  <c:v>656</c:v>
                </c:pt>
                <c:pt idx="134">
                  <c:v>370</c:v>
                </c:pt>
                <c:pt idx="135">
                  <c:v>864</c:v>
                </c:pt>
                <c:pt idx="136">
                  <c:v>1070</c:v>
                </c:pt>
                <c:pt idx="137">
                  <c:v>827</c:v>
                </c:pt>
                <c:pt idx="138">
                  <c:v>799</c:v>
                </c:pt>
                <c:pt idx="139">
                  <c:v>1113</c:v>
                </c:pt>
                <c:pt idx="140">
                  <c:v>820</c:v>
                </c:pt>
                <c:pt idx="141">
                  <c:v>564</c:v>
                </c:pt>
                <c:pt idx="142">
                  <c:v>632</c:v>
                </c:pt>
                <c:pt idx="143">
                  <c:v>1311</c:v>
                </c:pt>
                <c:pt idx="144">
                  <c:v>690</c:v>
                </c:pt>
                <c:pt idx="145">
                  <c:v>1510</c:v>
                </c:pt>
                <c:pt idx="146">
                  <c:v>722</c:v>
                </c:pt>
                <c:pt idx="147">
                  <c:v>728</c:v>
                </c:pt>
                <c:pt idx="148">
                  <c:v>1111</c:v>
                </c:pt>
                <c:pt idx="149">
                  <c:v>865</c:v>
                </c:pt>
                <c:pt idx="150">
                  <c:v>1261</c:v>
                </c:pt>
                <c:pt idx="151">
                  <c:v>692</c:v>
                </c:pt>
                <c:pt idx="152">
                  <c:v>279</c:v>
                </c:pt>
                <c:pt idx="153">
                  <c:v>1446</c:v>
                </c:pt>
                <c:pt idx="154">
                  <c:v>469</c:v>
                </c:pt>
                <c:pt idx="155">
                  <c:v>351</c:v>
                </c:pt>
                <c:pt idx="156">
                  <c:v>276</c:v>
                </c:pt>
                <c:pt idx="157">
                  <c:v>1042</c:v>
                </c:pt>
                <c:pt idx="158">
                  <c:v>496</c:v>
                </c:pt>
                <c:pt idx="159">
                  <c:v>1171</c:v>
                </c:pt>
                <c:pt idx="160">
                  <c:v>453</c:v>
                </c:pt>
                <c:pt idx="161">
                  <c:v>648</c:v>
                </c:pt>
                <c:pt idx="162">
                  <c:v>1088</c:v>
                </c:pt>
                <c:pt idx="163">
                  <c:v>789</c:v>
                </c:pt>
                <c:pt idx="164">
                  <c:v>1123</c:v>
                </c:pt>
                <c:pt idx="165">
                  <c:v>1064</c:v>
                </c:pt>
                <c:pt idx="166">
                  <c:v>744</c:v>
                </c:pt>
                <c:pt idx="167">
                  <c:v>1296</c:v>
                </c:pt>
                <c:pt idx="168">
                  <c:v>753</c:v>
                </c:pt>
                <c:pt idx="169">
                  <c:v>774</c:v>
                </c:pt>
                <c:pt idx="170">
                  <c:v>623</c:v>
                </c:pt>
                <c:pt idx="171">
                  <c:v>1368</c:v>
                </c:pt>
                <c:pt idx="172">
                  <c:v>1433</c:v>
                </c:pt>
                <c:pt idx="173">
                  <c:v>562</c:v>
                </c:pt>
                <c:pt idx="174">
                  <c:v>911</c:v>
                </c:pt>
                <c:pt idx="175">
                  <c:v>931</c:v>
                </c:pt>
                <c:pt idx="176">
                  <c:v>283</c:v>
                </c:pt>
                <c:pt idx="177">
                  <c:v>672</c:v>
                </c:pt>
                <c:pt idx="178">
                  <c:v>380</c:v>
                </c:pt>
                <c:pt idx="179">
                  <c:v>1137</c:v>
                </c:pt>
                <c:pt idx="180">
                  <c:v>913</c:v>
                </c:pt>
                <c:pt idx="181">
                  <c:v>946</c:v>
                </c:pt>
                <c:pt idx="182">
                  <c:v>929</c:v>
                </c:pt>
                <c:pt idx="183">
                  <c:v>441</c:v>
                </c:pt>
                <c:pt idx="184">
                  <c:v>1099</c:v>
                </c:pt>
                <c:pt idx="185">
                  <c:v>359</c:v>
                </c:pt>
                <c:pt idx="186">
                  <c:v>1086</c:v>
                </c:pt>
                <c:pt idx="187">
                  <c:v>316</c:v>
                </c:pt>
                <c:pt idx="188">
                  <c:v>891</c:v>
                </c:pt>
                <c:pt idx="189">
                  <c:v>810</c:v>
                </c:pt>
                <c:pt idx="190">
                  <c:v>1639</c:v>
                </c:pt>
                <c:pt idx="191">
                  <c:v>577</c:v>
                </c:pt>
                <c:pt idx="192">
                  <c:v>922</c:v>
                </c:pt>
                <c:pt idx="193">
                  <c:v>944</c:v>
                </c:pt>
                <c:pt idx="194">
                  <c:v>827</c:v>
                </c:pt>
                <c:pt idx="195">
                  <c:v>1162</c:v>
                </c:pt>
                <c:pt idx="196">
                  <c:v>1007</c:v>
                </c:pt>
                <c:pt idx="197">
                  <c:v>723</c:v>
                </c:pt>
                <c:pt idx="198">
                  <c:v>356</c:v>
                </c:pt>
                <c:pt idx="199">
                  <c:v>886</c:v>
                </c:pt>
                <c:pt idx="200">
                  <c:v>727</c:v>
                </c:pt>
                <c:pt idx="201">
                  <c:v>851</c:v>
                </c:pt>
                <c:pt idx="202">
                  <c:v>1629</c:v>
                </c:pt>
                <c:pt idx="203">
                  <c:v>335</c:v>
                </c:pt>
                <c:pt idx="204">
                  <c:v>1139</c:v>
                </c:pt>
                <c:pt idx="205">
                  <c:v>384</c:v>
                </c:pt>
                <c:pt idx="206">
                  <c:v>961</c:v>
                </c:pt>
                <c:pt idx="207">
                  <c:v>1306</c:v>
                </c:pt>
                <c:pt idx="208">
                  <c:v>967</c:v>
                </c:pt>
                <c:pt idx="209">
                  <c:v>1200</c:v>
                </c:pt>
                <c:pt idx="210">
                  <c:v>920</c:v>
                </c:pt>
                <c:pt idx="211">
                  <c:v>894</c:v>
                </c:pt>
                <c:pt idx="212">
                  <c:v>496</c:v>
                </c:pt>
                <c:pt idx="213">
                  <c:v>975</c:v>
                </c:pt>
                <c:pt idx="214">
                  <c:v>946</c:v>
                </c:pt>
                <c:pt idx="215">
                  <c:v>499</c:v>
                </c:pt>
                <c:pt idx="216">
                  <c:v>846</c:v>
                </c:pt>
                <c:pt idx="217">
                  <c:v>879</c:v>
                </c:pt>
                <c:pt idx="218">
                  <c:v>879</c:v>
                </c:pt>
                <c:pt idx="219">
                  <c:v>661</c:v>
                </c:pt>
                <c:pt idx="220">
                  <c:v>909</c:v>
                </c:pt>
                <c:pt idx="221">
                  <c:v>1194</c:v>
                </c:pt>
                <c:pt idx="222">
                  <c:v>1440</c:v>
                </c:pt>
                <c:pt idx="223">
                  <c:v>717</c:v>
                </c:pt>
                <c:pt idx="224">
                  <c:v>1066</c:v>
                </c:pt>
                <c:pt idx="225">
                  <c:v>278</c:v>
                </c:pt>
                <c:pt idx="226">
                  <c:v>806</c:v>
                </c:pt>
                <c:pt idx="227">
                  <c:v>1197</c:v>
                </c:pt>
                <c:pt idx="228">
                  <c:v>1129</c:v>
                </c:pt>
                <c:pt idx="229">
                  <c:v>764</c:v>
                </c:pt>
                <c:pt idx="230">
                  <c:v>807</c:v>
                </c:pt>
                <c:pt idx="231">
                  <c:v>1208</c:v>
                </c:pt>
                <c:pt idx="232">
                  <c:v>1332</c:v>
                </c:pt>
                <c:pt idx="233">
                  <c:v>391</c:v>
                </c:pt>
                <c:pt idx="234">
                  <c:v>914</c:v>
                </c:pt>
                <c:pt idx="235">
                  <c:v>733</c:v>
                </c:pt>
                <c:pt idx="236">
                  <c:v>991</c:v>
                </c:pt>
                <c:pt idx="237">
                  <c:v>389</c:v>
                </c:pt>
                <c:pt idx="238">
                  <c:v>933</c:v>
                </c:pt>
                <c:pt idx="239">
                  <c:v>1034</c:v>
                </c:pt>
                <c:pt idx="240">
                  <c:v>895</c:v>
                </c:pt>
                <c:pt idx="241">
                  <c:v>1157</c:v>
                </c:pt>
                <c:pt idx="242">
                  <c:v>816</c:v>
                </c:pt>
                <c:pt idx="243">
                  <c:v>290</c:v>
                </c:pt>
                <c:pt idx="244">
                  <c:v>1083</c:v>
                </c:pt>
                <c:pt idx="245">
                  <c:v>883</c:v>
                </c:pt>
                <c:pt idx="246">
                  <c:v>819</c:v>
                </c:pt>
                <c:pt idx="247">
                  <c:v>562</c:v>
                </c:pt>
                <c:pt idx="248">
                  <c:v>875</c:v>
                </c:pt>
                <c:pt idx="249">
                  <c:v>858</c:v>
                </c:pt>
                <c:pt idx="250">
                  <c:v>1231</c:v>
                </c:pt>
                <c:pt idx="251">
                  <c:v>1441</c:v>
                </c:pt>
                <c:pt idx="252">
                  <c:v>700</c:v>
                </c:pt>
                <c:pt idx="253">
                  <c:v>122</c:v>
                </c:pt>
                <c:pt idx="254">
                  <c:v>1095</c:v>
                </c:pt>
                <c:pt idx="255">
                  <c:v>706</c:v>
                </c:pt>
                <c:pt idx="256">
                  <c:v>933</c:v>
                </c:pt>
                <c:pt idx="257">
                  <c:v>1446</c:v>
                </c:pt>
                <c:pt idx="258">
                  <c:v>991</c:v>
                </c:pt>
                <c:pt idx="259">
                  <c:v>983</c:v>
                </c:pt>
                <c:pt idx="260">
                  <c:v>1003</c:v>
                </c:pt>
                <c:pt idx="261">
                  <c:v>806</c:v>
                </c:pt>
                <c:pt idx="262">
                  <c:v>922</c:v>
                </c:pt>
                <c:pt idx="263">
                  <c:v>1077</c:v>
                </c:pt>
                <c:pt idx="264">
                  <c:v>906</c:v>
                </c:pt>
                <c:pt idx="265">
                  <c:v>989</c:v>
                </c:pt>
                <c:pt idx="266">
                  <c:v>767</c:v>
                </c:pt>
                <c:pt idx="267">
                  <c:v>779</c:v>
                </c:pt>
                <c:pt idx="268">
                  <c:v>739</c:v>
                </c:pt>
                <c:pt idx="269">
                  <c:v>687</c:v>
                </c:pt>
                <c:pt idx="270">
                  <c:v>1338</c:v>
                </c:pt>
                <c:pt idx="271">
                  <c:v>476</c:v>
                </c:pt>
                <c:pt idx="272">
                  <c:v>490</c:v>
                </c:pt>
                <c:pt idx="273">
                  <c:v>651</c:v>
                </c:pt>
                <c:pt idx="274">
                  <c:v>1216</c:v>
                </c:pt>
                <c:pt idx="275">
                  <c:v>1413</c:v>
                </c:pt>
                <c:pt idx="276">
                  <c:v>610</c:v>
                </c:pt>
                <c:pt idx="277">
                  <c:v>811</c:v>
                </c:pt>
                <c:pt idx="278">
                  <c:v>701</c:v>
                </c:pt>
                <c:pt idx="279">
                  <c:v>352</c:v>
                </c:pt>
                <c:pt idx="280">
                  <c:v>527</c:v>
                </c:pt>
                <c:pt idx="281">
                  <c:v>955</c:v>
                </c:pt>
                <c:pt idx="282">
                  <c:v>947</c:v>
                </c:pt>
                <c:pt idx="283">
                  <c:v>624</c:v>
                </c:pt>
                <c:pt idx="284">
                  <c:v>628</c:v>
                </c:pt>
                <c:pt idx="285">
                  <c:v>1001</c:v>
                </c:pt>
                <c:pt idx="286">
                  <c:v>642</c:v>
                </c:pt>
                <c:pt idx="287">
                  <c:v>851</c:v>
                </c:pt>
                <c:pt idx="288">
                  <c:v>1152</c:v>
                </c:pt>
                <c:pt idx="289">
                  <c:v>451</c:v>
                </c:pt>
                <c:pt idx="290">
                  <c:v>892</c:v>
                </c:pt>
                <c:pt idx="291">
                  <c:v>738</c:v>
                </c:pt>
                <c:pt idx="292">
                  <c:v>1039</c:v>
                </c:pt>
                <c:pt idx="293">
                  <c:v>1105</c:v>
                </c:pt>
                <c:pt idx="294">
                  <c:v>1286</c:v>
                </c:pt>
                <c:pt idx="295">
                  <c:v>854</c:v>
                </c:pt>
                <c:pt idx="296">
                  <c:v>1017</c:v>
                </c:pt>
                <c:pt idx="297">
                  <c:v>558</c:v>
                </c:pt>
                <c:pt idx="298">
                  <c:v>1460</c:v>
                </c:pt>
                <c:pt idx="299">
                  <c:v>832</c:v>
                </c:pt>
                <c:pt idx="300">
                  <c:v>1055</c:v>
                </c:pt>
                <c:pt idx="301">
                  <c:v>269</c:v>
                </c:pt>
                <c:pt idx="302">
                  <c:v>1261</c:v>
                </c:pt>
                <c:pt idx="303">
                  <c:v>725</c:v>
                </c:pt>
                <c:pt idx="304">
                  <c:v>390</c:v>
                </c:pt>
                <c:pt idx="305">
                  <c:v>667</c:v>
                </c:pt>
                <c:pt idx="306">
                  <c:v>624</c:v>
                </c:pt>
                <c:pt idx="307">
                  <c:v>987</c:v>
                </c:pt>
                <c:pt idx="308">
                  <c:v>664</c:v>
                </c:pt>
                <c:pt idx="309">
                  <c:v>535</c:v>
                </c:pt>
                <c:pt idx="310">
                  <c:v>481</c:v>
                </c:pt>
                <c:pt idx="311">
                  <c:v>856</c:v>
                </c:pt>
                <c:pt idx="312">
                  <c:v>835</c:v>
                </c:pt>
                <c:pt idx="313">
                  <c:v>977</c:v>
                </c:pt>
                <c:pt idx="314">
                  <c:v>716</c:v>
                </c:pt>
                <c:pt idx="315">
                  <c:v>1383</c:v>
                </c:pt>
                <c:pt idx="316">
                  <c:v>972</c:v>
                </c:pt>
                <c:pt idx="317">
                  <c:v>710</c:v>
                </c:pt>
                <c:pt idx="318">
                  <c:v>352</c:v>
                </c:pt>
                <c:pt idx="319">
                  <c:v>1960</c:v>
                </c:pt>
                <c:pt idx="320">
                  <c:v>233</c:v>
                </c:pt>
                <c:pt idx="321">
                  <c:v>1037</c:v>
                </c:pt>
                <c:pt idx="322">
                  <c:v>1018</c:v>
                </c:pt>
                <c:pt idx="323">
                  <c:v>930</c:v>
                </c:pt>
                <c:pt idx="324">
                  <c:v>1096</c:v>
                </c:pt>
                <c:pt idx="325">
                  <c:v>2288</c:v>
                </c:pt>
                <c:pt idx="326">
                  <c:v>360</c:v>
                </c:pt>
                <c:pt idx="327">
                  <c:v>1213</c:v>
                </c:pt>
                <c:pt idx="328">
                  <c:v>100</c:v>
                </c:pt>
                <c:pt idx="329">
                  <c:v>584</c:v>
                </c:pt>
                <c:pt idx="330">
                  <c:v>1144</c:v>
                </c:pt>
                <c:pt idx="331">
                  <c:v>1126</c:v>
                </c:pt>
                <c:pt idx="332">
                  <c:v>1500</c:v>
                </c:pt>
                <c:pt idx="333">
                  <c:v>766</c:v>
                </c:pt>
                <c:pt idx="334">
                  <c:v>635</c:v>
                </c:pt>
                <c:pt idx="335">
                  <c:v>1095</c:v>
                </c:pt>
                <c:pt idx="336">
                  <c:v>1178</c:v>
                </c:pt>
                <c:pt idx="337">
                  <c:v>411</c:v>
                </c:pt>
                <c:pt idx="338">
                  <c:v>1039</c:v>
                </c:pt>
                <c:pt idx="339">
                  <c:v>286</c:v>
                </c:pt>
                <c:pt idx="340">
                  <c:v>1644</c:v>
                </c:pt>
                <c:pt idx="341">
                  <c:v>291</c:v>
                </c:pt>
                <c:pt idx="342">
                  <c:v>735</c:v>
                </c:pt>
                <c:pt idx="343">
                  <c:v>521</c:v>
                </c:pt>
                <c:pt idx="344">
                  <c:v>924</c:v>
                </c:pt>
                <c:pt idx="345">
                  <c:v>1248</c:v>
                </c:pt>
                <c:pt idx="346">
                  <c:v>696</c:v>
                </c:pt>
                <c:pt idx="347">
                  <c:v>445</c:v>
                </c:pt>
                <c:pt idx="348">
                  <c:v>717</c:v>
                </c:pt>
                <c:pt idx="349">
                  <c:v>656</c:v>
                </c:pt>
                <c:pt idx="350">
                  <c:v>1069</c:v>
                </c:pt>
                <c:pt idx="351">
                  <c:v>1492</c:v>
                </c:pt>
                <c:pt idx="352">
                  <c:v>737</c:v>
                </c:pt>
                <c:pt idx="353">
                  <c:v>2019</c:v>
                </c:pt>
                <c:pt idx="354">
                  <c:v>1348</c:v>
                </c:pt>
                <c:pt idx="355">
                  <c:v>815</c:v>
                </c:pt>
                <c:pt idx="356">
                  <c:v>1042</c:v>
                </c:pt>
                <c:pt idx="357">
                  <c:v>1782</c:v>
                </c:pt>
                <c:pt idx="358">
                  <c:v>716</c:v>
                </c:pt>
                <c:pt idx="359">
                  <c:v>2009</c:v>
                </c:pt>
                <c:pt idx="360">
                  <c:v>428</c:v>
                </c:pt>
                <c:pt idx="361">
                  <c:v>682</c:v>
                </c:pt>
                <c:pt idx="362">
                  <c:v>989</c:v>
                </c:pt>
                <c:pt idx="363">
                  <c:v>584</c:v>
                </c:pt>
                <c:pt idx="364">
                  <c:v>1026</c:v>
                </c:pt>
                <c:pt idx="365">
                  <c:v>978</c:v>
                </c:pt>
                <c:pt idx="366">
                  <c:v>1886</c:v>
                </c:pt>
                <c:pt idx="367">
                  <c:v>917</c:v>
                </c:pt>
                <c:pt idx="368">
                  <c:v>2132</c:v>
                </c:pt>
                <c:pt idx="369">
                  <c:v>903</c:v>
                </c:pt>
                <c:pt idx="370">
                  <c:v>772</c:v>
                </c:pt>
                <c:pt idx="371">
                  <c:v>711</c:v>
                </c:pt>
                <c:pt idx="372">
                  <c:v>734</c:v>
                </c:pt>
                <c:pt idx="373">
                  <c:v>988</c:v>
                </c:pt>
                <c:pt idx="374">
                  <c:v>211</c:v>
                </c:pt>
                <c:pt idx="375">
                  <c:v>577</c:v>
                </c:pt>
                <c:pt idx="376">
                  <c:v>1435</c:v>
                </c:pt>
                <c:pt idx="377">
                  <c:v>1125</c:v>
                </c:pt>
                <c:pt idx="378">
                  <c:v>499</c:v>
                </c:pt>
                <c:pt idx="379">
                  <c:v>1166</c:v>
                </c:pt>
                <c:pt idx="380">
                  <c:v>988</c:v>
                </c:pt>
                <c:pt idx="381">
                  <c:v>1336</c:v>
                </c:pt>
                <c:pt idx="382">
                  <c:v>594</c:v>
                </c:pt>
                <c:pt idx="383">
                  <c:v>1354</c:v>
                </c:pt>
                <c:pt idx="384">
                  <c:v>1458</c:v>
                </c:pt>
                <c:pt idx="385">
                  <c:v>1115</c:v>
                </c:pt>
                <c:pt idx="386">
                  <c:v>447</c:v>
                </c:pt>
                <c:pt idx="387">
                  <c:v>1312</c:v>
                </c:pt>
                <c:pt idx="388">
                  <c:v>817</c:v>
                </c:pt>
                <c:pt idx="389">
                  <c:v>344</c:v>
                </c:pt>
                <c:pt idx="390">
                  <c:v>1249</c:v>
                </c:pt>
                <c:pt idx="391">
                  <c:v>735</c:v>
                </c:pt>
                <c:pt idx="392">
                  <c:v>840</c:v>
                </c:pt>
                <c:pt idx="393">
                  <c:v>609</c:v>
                </c:pt>
                <c:pt idx="394">
                  <c:v>611</c:v>
                </c:pt>
                <c:pt idx="395">
                  <c:v>822</c:v>
                </c:pt>
                <c:pt idx="396">
                  <c:v>1400</c:v>
                </c:pt>
                <c:pt idx="397">
                  <c:v>1011</c:v>
                </c:pt>
                <c:pt idx="398">
                  <c:v>1023</c:v>
                </c:pt>
              </c:numCache>
            </c:numRef>
          </c:yVal>
          <c:smooth val="0"/>
          <c:extLst>
            <c:ext xmlns:c16="http://schemas.microsoft.com/office/drawing/2014/chart" uri="{C3380CC4-5D6E-409C-BE32-E72D297353CC}">
              <c16:uniqueId val="{00000000-1C27-4D23-9773-AA65884E185B}"/>
            </c:ext>
          </c:extLst>
        </c:ser>
        <c:dLbls>
          <c:showLegendKey val="0"/>
          <c:showVal val="0"/>
          <c:showCatName val="0"/>
          <c:showSerName val="0"/>
          <c:showPercent val="0"/>
          <c:showBubbleSize val="0"/>
        </c:dLbls>
        <c:axId val="1057420239"/>
        <c:axId val="1057419279"/>
      </c:scatterChart>
      <c:valAx>
        <c:axId val="1057420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19279"/>
        <c:crosses val="autoZero"/>
        <c:crossBetween val="midCat"/>
      </c:valAx>
      <c:valAx>
        <c:axId val="1057419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FHO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20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83820</xdr:colOff>
      <xdr:row>10</xdr:row>
      <xdr:rowOff>34290</xdr:rowOff>
    </xdr:from>
    <xdr:to>
      <xdr:col>14</xdr:col>
      <xdr:colOff>472440</xdr:colOff>
      <xdr:row>25</xdr:row>
      <xdr:rowOff>34290</xdr:rowOff>
    </xdr:to>
    <xdr:graphicFrame macro="">
      <xdr:nvGraphicFramePr>
        <xdr:cNvPr id="2" name="Chart 1">
          <a:extLst>
            <a:ext uri="{FF2B5EF4-FFF2-40B4-BE49-F238E27FC236}">
              <a16:creationId xmlns:a16="http://schemas.microsoft.com/office/drawing/2014/main" id="{09D45B0B-8E5E-E57C-607C-82DE222AF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114300</xdr:colOff>
      <xdr:row>2</xdr:row>
      <xdr:rowOff>53340</xdr:rowOff>
    </xdr:from>
    <xdr:ext cx="1153415" cy="43434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E5F1F3-4689-459F-2E77-EFD4ECD959F7}"/>
                </a:ext>
              </a:extLst>
            </xdr:cNvPr>
            <xdr:cNvSpPr txBox="1"/>
          </xdr:nvSpPr>
          <xdr:spPr>
            <a:xfrm>
              <a:off x="8831580" y="41910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ZA" sz="1100" i="1">
                            <a:latin typeface="Cambria Math" panose="02040503050406030204" pitchFamily="18" charset="0"/>
                          </a:rPr>
                        </m:ctrlPr>
                      </m:sSupPr>
                      <m:e>
                        <m:r>
                          <a:rPr lang="en-ZA" sz="1100" b="0" i="1">
                            <a:latin typeface="Cambria Math" panose="02040503050406030204" pitchFamily="18" charset="0"/>
                          </a:rPr>
                          <m:t>𝑅</m:t>
                        </m:r>
                      </m:e>
                      <m:sup>
                        <m:r>
                          <a:rPr lang="en-ZA" sz="1100" b="0" i="1">
                            <a:latin typeface="Cambria Math" panose="02040503050406030204" pitchFamily="18" charset="0"/>
                          </a:rPr>
                          <m:t>2</m:t>
                        </m:r>
                      </m:sup>
                    </m:sSup>
                    <m:r>
                      <a:rPr lang="en-ZA" sz="1100" b="0" i="1">
                        <a:latin typeface="Cambria Math" panose="02040503050406030204" pitchFamily="18" charset="0"/>
                      </a:rPr>
                      <m:t>=1−</m:t>
                    </m:r>
                    <m:f>
                      <m:fPr>
                        <m:ctrlPr>
                          <a:rPr lang="en-ZA" sz="1100" b="0" i="1">
                            <a:latin typeface="Cambria Math" panose="02040503050406030204" pitchFamily="18" charset="0"/>
                          </a:rPr>
                        </m:ctrlPr>
                      </m:fPr>
                      <m:num>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num>
                      <m:den>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den>
                    </m:f>
                  </m:oMath>
                </m:oMathPara>
              </a14:m>
              <a:endParaRPr lang="en-ZA" sz="1100"/>
            </a:p>
          </xdr:txBody>
        </xdr:sp>
      </mc:Choice>
      <mc:Fallback xmlns="">
        <xdr:sp macro="" textlink="">
          <xdr:nvSpPr>
            <xdr:cNvPr id="3" name="TextBox 2">
              <a:extLst>
                <a:ext uri="{FF2B5EF4-FFF2-40B4-BE49-F238E27FC236}">
                  <a16:creationId xmlns:a16="http://schemas.microsoft.com/office/drawing/2014/main" id="{62E5F1F3-4689-459F-2E77-EFD4ECD959F7}"/>
                </a:ext>
              </a:extLst>
            </xdr:cNvPr>
            <xdr:cNvSpPr txBox="1"/>
          </xdr:nvSpPr>
          <xdr:spPr>
            <a:xfrm>
              <a:off x="8831580" y="41910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ZA" sz="1100" b="0" i="0">
                  <a:latin typeface="Cambria Math" panose="02040503050406030204" pitchFamily="18" charset="0"/>
                </a:rPr>
                <a:t>𝑅^2=1−〖𝑆𝑆〗_𝑟𝑒𝑠/〖𝑆𝑆〗_𝑡𝑜𝑡 </a:t>
              </a:r>
              <a:endParaRPr lang="en-ZA" sz="1100"/>
            </a:p>
          </xdr:txBody>
        </xdr:sp>
      </mc:Fallback>
    </mc:AlternateContent>
    <xdr:clientData/>
  </xdr:oneCellAnchor>
  <xdr:oneCellAnchor>
    <xdr:from>
      <xdr:col>13</xdr:col>
      <xdr:colOff>464820</xdr:colOff>
      <xdr:row>2</xdr:row>
      <xdr:rowOff>57150</xdr:rowOff>
    </xdr:from>
    <xdr:ext cx="1370760" cy="40767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9FA3E8-C459-0927-A21D-493AF51F03A3}"/>
                </a:ext>
              </a:extLst>
            </xdr:cNvPr>
            <xdr:cNvSpPr txBox="1"/>
          </xdr:nvSpPr>
          <xdr:spPr>
            <a:xfrm>
              <a:off x="10035540" y="42291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sSub>
                                  <m:sSubPr>
                                    <m:ctrlPr>
                                      <a:rPr lang="en-ZA" sz="1100" b="0" i="1">
                                        <a:solidFill>
                                          <a:schemeClr val="tx1"/>
                                        </a:solidFill>
                                        <a:effectLst/>
                                        <a:latin typeface="Cambria Math" panose="02040503050406030204" pitchFamily="18" charset="0"/>
                                        <a:ea typeface="+mn-ea"/>
                                        <a:cs typeface="+mn-cs"/>
                                      </a:rPr>
                                    </m:ctrlPr>
                                  </m:sSubPr>
                                  <m:e>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sub>
                                    <m:r>
                                      <a:rPr lang="en-ZA" sz="1100" b="0" i="1">
                                        <a:solidFill>
                                          <a:schemeClr val="tx1"/>
                                        </a:solidFill>
                                        <a:effectLst/>
                                        <a:latin typeface="Cambria Math" panose="02040503050406030204" pitchFamily="18" charset="0"/>
                                        <a:ea typeface="+mn-ea"/>
                                        <a:cs typeface="+mn-cs"/>
                                      </a:rPr>
                                      <m:t>𝑖</m:t>
                                    </m:r>
                                  </m:sub>
                                </m:sSub>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mlns="">
        <xdr:sp macro="" textlink="">
          <xdr:nvSpPr>
            <xdr:cNvPr id="4" name="TextBox 3">
              <a:extLst>
                <a:ext uri="{FF2B5EF4-FFF2-40B4-BE49-F238E27FC236}">
                  <a16:creationId xmlns:a16="http://schemas.microsoft.com/office/drawing/2014/main" id="{7A9FA3E8-C459-0927-A21D-493AF51F03A3}"/>
                </a:ext>
              </a:extLst>
            </xdr:cNvPr>
            <xdr:cNvSpPr txBox="1"/>
          </xdr:nvSpPr>
          <xdr:spPr>
            <a:xfrm>
              <a:off x="10035540" y="42291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ZA" sz="1100" i="0">
                  <a:latin typeface="Cambria Math" panose="02040503050406030204" pitchFamily="18" charset="0"/>
                </a:rPr>
                <a:t>〖</a:t>
              </a:r>
              <a:r>
                <a:rPr lang="en-ZA" sz="1100" b="0" i="0">
                  <a:latin typeface="Cambria Math" panose="02040503050406030204" pitchFamily="18" charset="0"/>
                </a:rPr>
                <a:t>𝑆𝑆〗_𝑟𝑒𝑠= </a:t>
              </a:r>
              <a:r>
                <a:rPr lang="en-ZA" sz="1100" b="0" i="0">
                  <a:solidFill>
                    <a:schemeClr val="tx1"/>
                  </a:solidFill>
                  <a:effectLst/>
                  <a:latin typeface="+mn-lt"/>
                  <a:ea typeface="+mn-ea"/>
                  <a:cs typeface="+mn-cs"/>
                </a:rPr>
                <a:t>∑▒(𝑦_𝑖−𝑦 ̂_𝑖 )</a:t>
              </a:r>
              <a:r>
                <a:rPr lang="en-ZA" sz="1100" b="0" i="0">
                  <a:solidFill>
                    <a:schemeClr val="tx1"/>
                  </a:solidFill>
                  <a:effectLst/>
                  <a:latin typeface="Cambria Math" panose="02040503050406030204" pitchFamily="18" charset="0"/>
                  <a:ea typeface="+mn-ea"/>
                  <a:cs typeface="+mn-cs"/>
                </a:rPr>
                <a:t>^2</a:t>
              </a:r>
              <a:r>
                <a:rPr lang="en-ZA" sz="1100" b="0" i="0">
                  <a:solidFill>
                    <a:schemeClr val="tx1"/>
                  </a:solidFill>
                  <a:effectLst/>
                  <a:latin typeface="+mn-lt"/>
                  <a:ea typeface="+mn-ea"/>
                  <a:cs typeface="+mn-cs"/>
                </a:rPr>
                <a:t> </a:t>
              </a:r>
              <a:endParaRPr lang="en-ZA" sz="1100"/>
            </a:p>
          </xdr:txBody>
        </xdr:sp>
      </mc:Fallback>
    </mc:AlternateContent>
    <xdr:clientData/>
  </xdr:oneCellAnchor>
  <xdr:oneCellAnchor>
    <xdr:from>
      <xdr:col>12</xdr:col>
      <xdr:colOff>845820</xdr:colOff>
      <xdr:row>5</xdr:row>
      <xdr:rowOff>125730</xdr:rowOff>
    </xdr:from>
    <xdr:ext cx="65" cy="172227"/>
    <xdr:sp macro="" textlink="">
      <xdr:nvSpPr>
        <xdr:cNvPr id="5" name="TextBox 4">
          <a:extLst>
            <a:ext uri="{FF2B5EF4-FFF2-40B4-BE49-F238E27FC236}">
              <a16:creationId xmlns:a16="http://schemas.microsoft.com/office/drawing/2014/main" id="{60FF54CB-49F2-3593-067E-9DFA15133E3D}"/>
            </a:ext>
          </a:extLst>
        </xdr:cNvPr>
        <xdr:cNvSpPr txBox="1"/>
      </xdr:nvSpPr>
      <xdr:spPr>
        <a:xfrm>
          <a:off x="10271760" y="10401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15</xdr:col>
      <xdr:colOff>114300</xdr:colOff>
      <xdr:row>2</xdr:row>
      <xdr:rowOff>49531</xdr:rowOff>
    </xdr:from>
    <xdr:ext cx="1346651" cy="43815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AE6BC1A-14B8-94DD-9C57-5E060AA6D91A}"/>
                </a:ext>
              </a:extLst>
            </xdr:cNvPr>
            <xdr:cNvSpPr txBox="1"/>
          </xdr:nvSpPr>
          <xdr:spPr>
            <a:xfrm>
              <a:off x="12146280" y="415291"/>
              <a:ext cx="1346651" cy="4381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ZA" sz="110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𝑆𝑆</m:t>
                        </m:r>
                      </m:e>
                      <m:sub>
                        <m:r>
                          <a:rPr lang="en-ZA" sz="1100" b="0" i="1">
                            <a:solidFill>
                              <a:schemeClr val="tx1"/>
                            </a:solidFill>
                            <a:effectLst/>
                            <a:latin typeface="Cambria Math" panose="02040503050406030204" pitchFamily="18" charset="0"/>
                            <a:ea typeface="+mn-ea"/>
                            <a:cs typeface="+mn-cs"/>
                          </a:rPr>
                          <m:t>𝑡𝑜𝑡</m:t>
                        </m:r>
                      </m:sub>
                    </m:sSub>
                    <m:r>
                      <a:rPr lang="en-ZA" sz="1100" b="0" i="1">
                        <a:solidFill>
                          <a:schemeClr val="tx1"/>
                        </a:solidFill>
                        <a:effectLst/>
                        <a:latin typeface="Cambria Math" panose="02040503050406030204" pitchFamily="18" charset="0"/>
                        <a:ea typeface="+mn-ea"/>
                        <a:cs typeface="+mn-cs"/>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a:effectLst/>
              </a:endParaRPr>
            </a:p>
            <a:p>
              <a:endParaRPr lang="en-ZA" sz="1100"/>
            </a:p>
          </xdr:txBody>
        </xdr:sp>
      </mc:Choice>
      <mc:Fallback xmlns="">
        <xdr:sp macro="" textlink="">
          <xdr:nvSpPr>
            <xdr:cNvPr id="6" name="TextBox 5">
              <a:extLst>
                <a:ext uri="{FF2B5EF4-FFF2-40B4-BE49-F238E27FC236}">
                  <a16:creationId xmlns:a16="http://schemas.microsoft.com/office/drawing/2014/main" id="{EAE6BC1A-14B8-94DD-9C57-5E060AA6D91A}"/>
                </a:ext>
              </a:extLst>
            </xdr:cNvPr>
            <xdr:cNvSpPr txBox="1"/>
          </xdr:nvSpPr>
          <xdr:spPr>
            <a:xfrm>
              <a:off x="12146280" y="415291"/>
              <a:ext cx="1346651" cy="4381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ZA" sz="1100" i="0">
                  <a:solidFill>
                    <a:schemeClr val="tx1"/>
                  </a:solidFill>
                  <a:effectLst/>
                  <a:latin typeface="+mn-lt"/>
                  <a:ea typeface="+mn-ea"/>
                  <a:cs typeface="+mn-cs"/>
                </a:rPr>
                <a:t>〖</a:t>
              </a:r>
              <a:r>
                <a:rPr lang="en-ZA" sz="1100" b="0" i="0">
                  <a:solidFill>
                    <a:schemeClr val="tx1"/>
                  </a:solidFill>
                  <a:effectLst/>
                  <a:latin typeface="+mn-lt"/>
                  <a:ea typeface="+mn-ea"/>
                  <a:cs typeface="+mn-cs"/>
                </a:rPr>
                <a:t>𝑆𝑆〗_</a:t>
              </a:r>
              <a:r>
                <a:rPr lang="en-ZA" sz="1100" b="0" i="0">
                  <a:solidFill>
                    <a:schemeClr val="tx1"/>
                  </a:solidFill>
                  <a:effectLst/>
                  <a:latin typeface="Cambria Math" panose="02040503050406030204" pitchFamily="18" charset="0"/>
                  <a:ea typeface="+mn-ea"/>
                  <a:cs typeface="+mn-cs"/>
                </a:rPr>
                <a:t>𝑡𝑜𝑡</a:t>
              </a:r>
              <a:r>
                <a:rPr lang="en-ZA" sz="1100" b="0" i="0">
                  <a:solidFill>
                    <a:schemeClr val="tx1"/>
                  </a:solidFill>
                  <a:effectLst/>
                  <a:latin typeface="+mn-lt"/>
                  <a:ea typeface="+mn-ea"/>
                  <a:cs typeface="+mn-cs"/>
                </a:rPr>
                <a:t>= ∑▒(𝑦_𝑖−</a:t>
              </a:r>
              <a:r>
                <a:rPr lang="en-ZA" sz="1100" b="0" i="0">
                  <a:solidFill>
                    <a:schemeClr val="tx1"/>
                  </a:solidFill>
                  <a:effectLst/>
                  <a:latin typeface="Cambria Math" panose="02040503050406030204" pitchFamily="18" charset="0"/>
                  <a:ea typeface="+mn-ea"/>
                  <a:cs typeface="+mn-cs"/>
                </a:rPr>
                <a:t>𝑦 ̅</a:t>
              </a:r>
              <a:r>
                <a:rPr lang="en-ZA" sz="1100" b="0" i="0">
                  <a:solidFill>
                    <a:schemeClr val="tx1"/>
                  </a:solidFill>
                  <a:effectLst/>
                  <a:latin typeface="+mn-lt"/>
                  <a:ea typeface="+mn-ea"/>
                  <a:cs typeface="+mn-cs"/>
                </a:rPr>
                <a:t> )^2 </a:t>
              </a:r>
              <a:endParaRPr lang="en-ZA">
                <a:effectLst/>
              </a:endParaRPr>
            </a:p>
            <a:p>
              <a:endParaRPr lang="en-ZA" sz="1100"/>
            </a:p>
          </xdr:txBody>
        </xdr:sp>
      </mc:Fallback>
    </mc:AlternateContent>
    <xdr:clientData/>
  </xdr:oneCellAnchor>
  <xdr:oneCellAnchor>
    <xdr:from>
      <xdr:col>8</xdr:col>
      <xdr:colOff>1097280</xdr:colOff>
      <xdr:row>3</xdr:row>
      <xdr:rowOff>179070</xdr:rowOff>
    </xdr:from>
    <xdr:ext cx="2185598"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20B45AD-556B-2B2E-8706-E80E9445726D}"/>
                </a:ext>
              </a:extLst>
            </xdr:cNvPr>
            <xdr:cNvSpPr txBox="1"/>
          </xdr:nvSpPr>
          <xdr:spPr>
            <a:xfrm>
              <a:off x="6515100" y="727710"/>
              <a:ext cx="2185598"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=804,3486+0,000254 </m:t>
                    </m:r>
                    <m:r>
                      <a:rPr lang="en-ZA" sz="1100" b="0" i="1">
                        <a:latin typeface="Cambria Math" panose="02040503050406030204" pitchFamily="18" charset="0"/>
                      </a:rPr>
                      <m:t>𝑀𝑎𝑠𝑠</m:t>
                    </m:r>
                  </m:oMath>
                </m:oMathPara>
              </a14:m>
              <a:endParaRPr lang="en-ZA" sz="1100" b="0"/>
            </a:p>
          </xdr:txBody>
        </xdr:sp>
      </mc:Choice>
      <mc:Fallback xmlns="">
        <xdr:sp macro="" textlink="">
          <xdr:nvSpPr>
            <xdr:cNvPr id="7" name="TextBox 6">
              <a:extLst>
                <a:ext uri="{FF2B5EF4-FFF2-40B4-BE49-F238E27FC236}">
                  <a16:creationId xmlns:a16="http://schemas.microsoft.com/office/drawing/2014/main" id="{520B45AD-556B-2B2E-8706-E80E9445726D}"/>
                </a:ext>
              </a:extLst>
            </xdr:cNvPr>
            <xdr:cNvSpPr txBox="1"/>
          </xdr:nvSpPr>
          <xdr:spPr>
            <a:xfrm>
              <a:off x="6515100" y="727710"/>
              <a:ext cx="2185598"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ZA" sz="1100" b="0" i="0">
                  <a:latin typeface="Cambria Math" panose="02040503050406030204" pitchFamily="18" charset="0"/>
                </a:rPr>
                <a:t>𝐹𝐻𝑂=804,3486+0,000254 𝑀𝑎𝑠𝑠</a:t>
              </a:r>
              <a:endParaRPr lang="en-ZA" sz="1100" b="0"/>
            </a:p>
          </xdr:txBody>
        </xdr:sp>
      </mc:Fallback>
    </mc:AlternateContent>
    <xdr:clientData/>
  </xdr:oneCellAnchor>
  <xdr:oneCellAnchor>
    <xdr:from>
      <xdr:col>9</xdr:col>
      <xdr:colOff>30480</xdr:colOff>
      <xdr:row>2</xdr:row>
      <xdr:rowOff>125730</xdr:rowOff>
    </xdr:from>
    <xdr:ext cx="1345946" cy="172227"/>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2E3140F-3F3A-0CE1-5855-EFEBBFD23751}"/>
                </a:ext>
              </a:extLst>
            </xdr:cNvPr>
            <xdr:cNvSpPr txBox="1"/>
          </xdr:nvSpPr>
          <xdr:spPr>
            <a:xfrm>
              <a:off x="6560820" y="491490"/>
              <a:ext cx="1345946"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 </m:t>
                    </m:r>
                    <m:sSub>
                      <m:sSubPr>
                        <m:ctrlPr>
                          <a:rPr lang="en-ZA" sz="1100" b="0" i="1">
                            <a:latin typeface="Cambria Math" panose="02040503050406030204" pitchFamily="18" charset="0"/>
                          </a:rPr>
                        </m:ctrlPr>
                      </m:sSubPr>
                      <m:e>
                        <m:r>
                          <a:rPr lang="en-ZA" sz="1100" b="0" i="1">
                            <a:latin typeface="Cambria Math" panose="02040503050406030204" pitchFamily="18" charset="0"/>
                            <a:ea typeface="Cambria Math" panose="02040503050406030204" pitchFamily="18" charset="0"/>
                          </a:rPr>
                          <m:t>𝛽</m:t>
                        </m:r>
                      </m:e>
                      <m:sub>
                        <m:r>
                          <a:rPr lang="en-ZA" sz="1100" b="0" i="1">
                            <a:latin typeface="Cambria Math" panose="02040503050406030204" pitchFamily="18" charset="0"/>
                          </a:rPr>
                          <m:t>0</m:t>
                        </m:r>
                      </m:sub>
                    </m:sSub>
                    <m:r>
                      <a:rPr lang="en-ZA" sz="1100" b="0" i="1">
                        <a:latin typeface="Cambria Math" panose="02040503050406030204" pitchFamily="18" charset="0"/>
                      </a:rPr>
                      <m:t>+</m:t>
                    </m:r>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𝛽</m:t>
                        </m:r>
                      </m:e>
                      <m:sub>
                        <m:r>
                          <a:rPr lang="en-ZA" sz="1100" b="0" i="1">
                            <a:solidFill>
                              <a:schemeClr val="tx1"/>
                            </a:solidFill>
                            <a:effectLst/>
                            <a:latin typeface="Cambria Math" panose="02040503050406030204" pitchFamily="18" charset="0"/>
                            <a:ea typeface="+mn-ea"/>
                            <a:cs typeface="+mn-cs"/>
                          </a:rPr>
                          <m:t>1</m:t>
                        </m:r>
                      </m:sub>
                    </m:sSub>
                    <m:r>
                      <a:rPr lang="en-ZA" sz="1100" b="0" i="1">
                        <a:latin typeface="Cambria Math" panose="02040503050406030204" pitchFamily="18" charset="0"/>
                      </a:rPr>
                      <m:t> </m:t>
                    </m:r>
                    <m:r>
                      <a:rPr lang="en-ZA" sz="1100" b="0" i="1">
                        <a:latin typeface="Cambria Math" panose="02040503050406030204" pitchFamily="18" charset="0"/>
                      </a:rPr>
                      <m:t>𝑀𝑎𝑠𝑠</m:t>
                    </m:r>
                  </m:oMath>
                </m:oMathPara>
              </a14:m>
              <a:endParaRPr lang="en-ZA" sz="1100"/>
            </a:p>
          </xdr:txBody>
        </xdr:sp>
      </mc:Choice>
      <mc:Fallback xmlns="">
        <xdr:sp macro="" textlink="">
          <xdr:nvSpPr>
            <xdr:cNvPr id="8" name="TextBox 7">
              <a:extLst>
                <a:ext uri="{FF2B5EF4-FFF2-40B4-BE49-F238E27FC236}">
                  <a16:creationId xmlns:a16="http://schemas.microsoft.com/office/drawing/2014/main" id="{C2E3140F-3F3A-0CE1-5855-EFEBBFD23751}"/>
                </a:ext>
              </a:extLst>
            </xdr:cNvPr>
            <xdr:cNvSpPr txBox="1"/>
          </xdr:nvSpPr>
          <xdr:spPr>
            <a:xfrm>
              <a:off x="6560820" y="491490"/>
              <a:ext cx="1345946"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ZA" sz="1100" b="0" i="0">
                  <a:latin typeface="Cambria Math" panose="02040503050406030204" pitchFamily="18" charset="0"/>
                </a:rPr>
                <a:t>𝐹𝐻𝑂= </a:t>
              </a:r>
              <a:r>
                <a:rPr lang="en-ZA" sz="1100" b="0" i="0">
                  <a:latin typeface="Cambria Math" panose="02040503050406030204" pitchFamily="18" charset="0"/>
                  <a:ea typeface="Cambria Math" panose="02040503050406030204" pitchFamily="18" charset="0"/>
                </a:rPr>
                <a:t>𝛽_</a:t>
              </a:r>
              <a:r>
                <a:rPr lang="en-ZA" sz="1100" b="0" i="0">
                  <a:latin typeface="Cambria Math" panose="02040503050406030204" pitchFamily="18" charset="0"/>
                </a:rPr>
                <a:t>0+</a:t>
              </a:r>
              <a:r>
                <a:rPr lang="en-ZA" sz="1100" b="0" i="0">
                  <a:solidFill>
                    <a:schemeClr val="tx1"/>
                  </a:solidFill>
                  <a:effectLst/>
                  <a:latin typeface="+mn-lt"/>
                  <a:ea typeface="+mn-ea"/>
                  <a:cs typeface="+mn-cs"/>
                </a:rPr>
                <a:t>𝛽_</a:t>
              </a:r>
              <a:r>
                <a:rPr lang="en-ZA" sz="1100" b="0" i="0">
                  <a:solidFill>
                    <a:schemeClr val="tx1"/>
                  </a:solidFill>
                  <a:effectLst/>
                  <a:latin typeface="Cambria Math" panose="02040503050406030204" pitchFamily="18" charset="0"/>
                  <a:ea typeface="+mn-ea"/>
                  <a:cs typeface="+mn-cs"/>
                </a:rPr>
                <a:t>1 </a:t>
              </a:r>
              <a:r>
                <a:rPr lang="en-ZA" sz="1100" b="0" i="0">
                  <a:latin typeface="Cambria Math" panose="02040503050406030204" pitchFamily="18" charset="0"/>
                </a:rPr>
                <a:t> 𝑀𝑎𝑠𝑠</a:t>
              </a:r>
              <a:endParaRPr lang="en-ZA"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9</xdr:col>
      <xdr:colOff>60960</xdr:colOff>
      <xdr:row>10</xdr:row>
      <xdr:rowOff>19050</xdr:rowOff>
    </xdr:from>
    <xdr:to>
      <xdr:col>14</xdr:col>
      <xdr:colOff>594360</xdr:colOff>
      <xdr:row>25</xdr:row>
      <xdr:rowOff>19050</xdr:rowOff>
    </xdr:to>
    <xdr:graphicFrame macro="">
      <xdr:nvGraphicFramePr>
        <xdr:cNvPr id="2" name="Chart 1">
          <a:extLst>
            <a:ext uri="{FF2B5EF4-FFF2-40B4-BE49-F238E27FC236}">
              <a16:creationId xmlns:a16="http://schemas.microsoft.com/office/drawing/2014/main" id="{C68A4A1E-BC04-411D-8328-5CD6B5F66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114300</xdr:colOff>
      <xdr:row>2</xdr:row>
      <xdr:rowOff>53340</xdr:rowOff>
    </xdr:from>
    <xdr:ext cx="1153415" cy="43434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F1DD65F-62B7-4BA1-9161-C9A777BE26E3}"/>
                </a:ext>
              </a:extLst>
            </xdr:cNvPr>
            <xdr:cNvSpPr txBox="1"/>
          </xdr:nvSpPr>
          <xdr:spPr>
            <a:xfrm>
              <a:off x="8831580" y="41910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ZA" sz="1100" i="1">
                            <a:latin typeface="Cambria Math" panose="02040503050406030204" pitchFamily="18" charset="0"/>
                          </a:rPr>
                        </m:ctrlPr>
                      </m:sSupPr>
                      <m:e>
                        <m:r>
                          <a:rPr lang="en-ZA" sz="1100" b="0" i="1">
                            <a:latin typeface="Cambria Math" panose="02040503050406030204" pitchFamily="18" charset="0"/>
                          </a:rPr>
                          <m:t>𝑅</m:t>
                        </m:r>
                      </m:e>
                      <m:sup>
                        <m:r>
                          <a:rPr lang="en-ZA" sz="1100" b="0" i="1">
                            <a:latin typeface="Cambria Math" panose="02040503050406030204" pitchFamily="18" charset="0"/>
                          </a:rPr>
                          <m:t>2</m:t>
                        </m:r>
                      </m:sup>
                    </m:sSup>
                    <m:r>
                      <a:rPr lang="en-ZA" sz="1100" b="0" i="1">
                        <a:latin typeface="Cambria Math" panose="02040503050406030204" pitchFamily="18" charset="0"/>
                      </a:rPr>
                      <m:t>=1−</m:t>
                    </m:r>
                    <m:f>
                      <m:fPr>
                        <m:ctrlPr>
                          <a:rPr lang="en-ZA" sz="1100" b="0" i="1">
                            <a:latin typeface="Cambria Math" panose="02040503050406030204" pitchFamily="18" charset="0"/>
                          </a:rPr>
                        </m:ctrlPr>
                      </m:fPr>
                      <m:num>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num>
                      <m:den>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den>
                    </m:f>
                  </m:oMath>
                </m:oMathPara>
              </a14:m>
              <a:endParaRPr lang="en-ZA" sz="1100"/>
            </a:p>
          </xdr:txBody>
        </xdr:sp>
      </mc:Choice>
      <mc:Fallback xmlns="">
        <xdr:sp macro="" textlink="">
          <xdr:nvSpPr>
            <xdr:cNvPr id="3" name="TextBox 2">
              <a:extLst>
                <a:ext uri="{FF2B5EF4-FFF2-40B4-BE49-F238E27FC236}">
                  <a16:creationId xmlns:a16="http://schemas.microsoft.com/office/drawing/2014/main" id="{7F1DD65F-62B7-4BA1-9161-C9A777BE26E3}"/>
                </a:ext>
              </a:extLst>
            </xdr:cNvPr>
            <xdr:cNvSpPr txBox="1"/>
          </xdr:nvSpPr>
          <xdr:spPr>
            <a:xfrm>
              <a:off x="8831580" y="41910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ZA" sz="1100" b="0" i="0">
                  <a:latin typeface="Cambria Math" panose="02040503050406030204" pitchFamily="18" charset="0"/>
                </a:rPr>
                <a:t>𝑅^2=1−〖𝑆𝑆〗_𝑟𝑒𝑠/〖𝑆𝑆〗_𝑡𝑜𝑡 </a:t>
              </a:r>
              <a:endParaRPr lang="en-ZA" sz="1100"/>
            </a:p>
          </xdr:txBody>
        </xdr:sp>
      </mc:Fallback>
    </mc:AlternateContent>
    <xdr:clientData/>
  </xdr:oneCellAnchor>
  <xdr:oneCellAnchor>
    <xdr:from>
      <xdr:col>14</xdr:col>
      <xdr:colOff>289560</xdr:colOff>
      <xdr:row>2</xdr:row>
      <xdr:rowOff>72390</xdr:rowOff>
    </xdr:from>
    <xdr:ext cx="1370760" cy="40767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49AFC02-FADA-4CA5-BFB3-E2A8203E2473}"/>
                </a:ext>
              </a:extLst>
            </xdr:cNvPr>
            <xdr:cNvSpPr txBox="1"/>
          </xdr:nvSpPr>
          <xdr:spPr>
            <a:xfrm>
              <a:off x="8823960" y="43815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sSub>
                                  <m:sSubPr>
                                    <m:ctrlPr>
                                      <a:rPr lang="en-ZA" sz="1100" b="0" i="1">
                                        <a:solidFill>
                                          <a:schemeClr val="tx1"/>
                                        </a:solidFill>
                                        <a:effectLst/>
                                        <a:latin typeface="Cambria Math" panose="02040503050406030204" pitchFamily="18" charset="0"/>
                                        <a:ea typeface="+mn-ea"/>
                                        <a:cs typeface="+mn-cs"/>
                                      </a:rPr>
                                    </m:ctrlPr>
                                  </m:sSubPr>
                                  <m:e>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sub>
                                    <m:r>
                                      <a:rPr lang="en-ZA" sz="1100" b="0" i="1">
                                        <a:solidFill>
                                          <a:schemeClr val="tx1"/>
                                        </a:solidFill>
                                        <a:effectLst/>
                                        <a:latin typeface="Cambria Math" panose="02040503050406030204" pitchFamily="18" charset="0"/>
                                        <a:ea typeface="+mn-ea"/>
                                        <a:cs typeface="+mn-cs"/>
                                      </a:rPr>
                                      <m:t>𝑖</m:t>
                                    </m:r>
                                  </m:sub>
                                </m:sSub>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mlns="">
        <xdr:sp macro="" textlink="">
          <xdr:nvSpPr>
            <xdr:cNvPr id="4" name="TextBox 3">
              <a:extLst>
                <a:ext uri="{FF2B5EF4-FFF2-40B4-BE49-F238E27FC236}">
                  <a16:creationId xmlns:a16="http://schemas.microsoft.com/office/drawing/2014/main" id="{E49AFC02-FADA-4CA5-BFB3-E2A8203E2473}"/>
                </a:ext>
              </a:extLst>
            </xdr:cNvPr>
            <xdr:cNvSpPr txBox="1"/>
          </xdr:nvSpPr>
          <xdr:spPr>
            <a:xfrm>
              <a:off x="8823960" y="43815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ZA" sz="1100" i="0">
                  <a:latin typeface="Cambria Math" panose="02040503050406030204" pitchFamily="18" charset="0"/>
                </a:rPr>
                <a:t>〖</a:t>
              </a:r>
              <a:r>
                <a:rPr lang="en-ZA" sz="1100" b="0" i="0">
                  <a:latin typeface="Cambria Math" panose="02040503050406030204" pitchFamily="18" charset="0"/>
                </a:rPr>
                <a:t>𝑆𝑆〗_𝑟𝑒𝑠= </a:t>
              </a:r>
              <a:r>
                <a:rPr lang="en-ZA" sz="1100" b="0" i="0">
                  <a:solidFill>
                    <a:schemeClr val="tx1"/>
                  </a:solidFill>
                  <a:effectLst/>
                  <a:latin typeface="+mn-lt"/>
                  <a:ea typeface="+mn-ea"/>
                  <a:cs typeface="+mn-cs"/>
                </a:rPr>
                <a:t>∑▒(𝑦_𝑖−𝑦 ̂_𝑖 )</a:t>
              </a:r>
              <a:r>
                <a:rPr lang="en-ZA" sz="1100" b="0" i="0">
                  <a:solidFill>
                    <a:schemeClr val="tx1"/>
                  </a:solidFill>
                  <a:effectLst/>
                  <a:latin typeface="Cambria Math" panose="02040503050406030204" pitchFamily="18" charset="0"/>
                  <a:ea typeface="+mn-ea"/>
                  <a:cs typeface="+mn-cs"/>
                </a:rPr>
                <a:t>^2</a:t>
              </a:r>
              <a:r>
                <a:rPr lang="en-ZA" sz="1100" b="0" i="0">
                  <a:solidFill>
                    <a:schemeClr val="tx1"/>
                  </a:solidFill>
                  <a:effectLst/>
                  <a:latin typeface="+mn-lt"/>
                  <a:ea typeface="+mn-ea"/>
                  <a:cs typeface="+mn-cs"/>
                </a:rPr>
                <a:t> </a:t>
              </a:r>
              <a:endParaRPr lang="en-ZA" sz="1100"/>
            </a:p>
          </xdr:txBody>
        </xdr:sp>
      </mc:Fallback>
    </mc:AlternateContent>
    <xdr:clientData/>
  </xdr:oneCellAnchor>
  <xdr:oneCellAnchor>
    <xdr:from>
      <xdr:col>12</xdr:col>
      <xdr:colOff>845820</xdr:colOff>
      <xdr:row>5</xdr:row>
      <xdr:rowOff>125730</xdr:rowOff>
    </xdr:from>
    <xdr:ext cx="65" cy="172227"/>
    <xdr:sp macro="" textlink="">
      <xdr:nvSpPr>
        <xdr:cNvPr id="5" name="TextBox 4">
          <a:extLst>
            <a:ext uri="{FF2B5EF4-FFF2-40B4-BE49-F238E27FC236}">
              <a16:creationId xmlns:a16="http://schemas.microsoft.com/office/drawing/2014/main" id="{C1D4EB6F-56A7-4ACC-8F15-6DC4B89F7486}"/>
            </a:ext>
          </a:extLst>
        </xdr:cNvPr>
        <xdr:cNvSpPr txBox="1"/>
      </xdr:nvSpPr>
      <xdr:spPr>
        <a:xfrm>
          <a:off x="9563100" y="10401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9</xdr:col>
      <xdr:colOff>0</xdr:colOff>
      <xdr:row>4</xdr:row>
      <xdr:rowOff>148590</xdr:rowOff>
    </xdr:from>
    <xdr:ext cx="2153282"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3B0235E-31E0-4A5F-A20C-F2FA1970719A}"/>
                </a:ext>
              </a:extLst>
            </xdr:cNvPr>
            <xdr:cNvSpPr txBox="1"/>
          </xdr:nvSpPr>
          <xdr:spPr>
            <a:xfrm>
              <a:off x="5486400" y="880110"/>
              <a:ext cx="2153282"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=503,5329+21,10428 </m:t>
                    </m:r>
                    <m:r>
                      <a:rPr lang="en-ZA" sz="1100" b="0" i="1">
                        <a:latin typeface="Cambria Math" panose="02040503050406030204" pitchFamily="18" charset="0"/>
                      </a:rPr>
                      <m:t>𝑊𝑆𝑃</m:t>
                    </m:r>
                  </m:oMath>
                </m:oMathPara>
              </a14:m>
              <a:endParaRPr lang="en-ZA" sz="1100" b="0"/>
            </a:p>
          </xdr:txBody>
        </xdr:sp>
      </mc:Choice>
      <mc:Fallback xmlns="">
        <xdr:sp macro="" textlink="">
          <xdr:nvSpPr>
            <xdr:cNvPr id="6" name="TextBox 5">
              <a:extLst>
                <a:ext uri="{FF2B5EF4-FFF2-40B4-BE49-F238E27FC236}">
                  <a16:creationId xmlns:a16="http://schemas.microsoft.com/office/drawing/2014/main" id="{93B0235E-31E0-4A5F-A20C-F2FA1970719A}"/>
                </a:ext>
              </a:extLst>
            </xdr:cNvPr>
            <xdr:cNvSpPr txBox="1"/>
          </xdr:nvSpPr>
          <xdr:spPr>
            <a:xfrm>
              <a:off x="5486400" y="880110"/>
              <a:ext cx="2153282"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ZA" sz="1100" b="0" i="0">
                  <a:latin typeface="Cambria Math" panose="02040503050406030204" pitchFamily="18" charset="0"/>
                </a:rPr>
                <a:t>𝐹𝐻𝑂=503,5329+21,10428 𝑊𝑆𝑃</a:t>
              </a:r>
              <a:endParaRPr lang="en-ZA" sz="1100" b="0"/>
            </a:p>
          </xdr:txBody>
        </xdr:sp>
      </mc:Fallback>
    </mc:AlternateContent>
    <xdr:clientData/>
  </xdr:oneCellAnchor>
  <xdr:oneCellAnchor>
    <xdr:from>
      <xdr:col>9</xdr:col>
      <xdr:colOff>30480</xdr:colOff>
      <xdr:row>2</xdr:row>
      <xdr:rowOff>125730</xdr:rowOff>
    </xdr:from>
    <xdr:ext cx="1345946"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688869C-7CA8-4594-80AD-1447396BB7FB}"/>
                </a:ext>
              </a:extLst>
            </xdr:cNvPr>
            <xdr:cNvSpPr txBox="1"/>
          </xdr:nvSpPr>
          <xdr:spPr>
            <a:xfrm>
              <a:off x="6560820" y="491490"/>
              <a:ext cx="1345946"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 </m:t>
                    </m:r>
                    <m:sSub>
                      <m:sSubPr>
                        <m:ctrlPr>
                          <a:rPr lang="en-ZA" sz="1100" b="0" i="1">
                            <a:latin typeface="Cambria Math" panose="02040503050406030204" pitchFamily="18" charset="0"/>
                          </a:rPr>
                        </m:ctrlPr>
                      </m:sSubPr>
                      <m:e>
                        <m:r>
                          <a:rPr lang="en-ZA" sz="1100" b="0" i="1">
                            <a:latin typeface="Cambria Math" panose="02040503050406030204" pitchFamily="18" charset="0"/>
                            <a:ea typeface="Cambria Math" panose="02040503050406030204" pitchFamily="18" charset="0"/>
                          </a:rPr>
                          <m:t>𝛽</m:t>
                        </m:r>
                      </m:e>
                      <m:sub>
                        <m:r>
                          <a:rPr lang="en-ZA" sz="1100" b="0" i="1">
                            <a:latin typeface="Cambria Math" panose="02040503050406030204" pitchFamily="18" charset="0"/>
                          </a:rPr>
                          <m:t>0</m:t>
                        </m:r>
                      </m:sub>
                    </m:sSub>
                    <m:r>
                      <a:rPr lang="en-ZA" sz="1100" b="0" i="1">
                        <a:latin typeface="Cambria Math" panose="02040503050406030204" pitchFamily="18" charset="0"/>
                      </a:rPr>
                      <m:t>+</m:t>
                    </m:r>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𝛽</m:t>
                        </m:r>
                      </m:e>
                      <m:sub>
                        <m:r>
                          <a:rPr lang="en-ZA" sz="1100" b="0" i="1">
                            <a:solidFill>
                              <a:schemeClr val="tx1"/>
                            </a:solidFill>
                            <a:effectLst/>
                            <a:latin typeface="Cambria Math" panose="02040503050406030204" pitchFamily="18" charset="0"/>
                            <a:ea typeface="+mn-ea"/>
                            <a:cs typeface="+mn-cs"/>
                          </a:rPr>
                          <m:t>1</m:t>
                        </m:r>
                      </m:sub>
                    </m:sSub>
                    <m:r>
                      <a:rPr lang="en-ZA" sz="1100" b="0" i="1">
                        <a:latin typeface="Cambria Math" panose="02040503050406030204" pitchFamily="18" charset="0"/>
                      </a:rPr>
                      <m:t> </m:t>
                    </m:r>
                    <m:r>
                      <a:rPr lang="en-ZA" sz="1100" b="0" i="1">
                        <a:latin typeface="Cambria Math" panose="02040503050406030204" pitchFamily="18" charset="0"/>
                      </a:rPr>
                      <m:t>𝑀𝑎𝑠𝑠</m:t>
                    </m:r>
                  </m:oMath>
                </m:oMathPara>
              </a14:m>
              <a:endParaRPr lang="en-ZA" sz="1100"/>
            </a:p>
          </xdr:txBody>
        </xdr:sp>
      </mc:Choice>
      <mc:Fallback xmlns="">
        <xdr:sp macro="" textlink="">
          <xdr:nvSpPr>
            <xdr:cNvPr id="7" name="TextBox 6">
              <a:extLst>
                <a:ext uri="{FF2B5EF4-FFF2-40B4-BE49-F238E27FC236}">
                  <a16:creationId xmlns:a16="http://schemas.microsoft.com/office/drawing/2014/main" id="{D688869C-7CA8-4594-80AD-1447396BB7FB}"/>
                </a:ext>
              </a:extLst>
            </xdr:cNvPr>
            <xdr:cNvSpPr txBox="1"/>
          </xdr:nvSpPr>
          <xdr:spPr>
            <a:xfrm>
              <a:off x="6560820" y="491490"/>
              <a:ext cx="1345946"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ZA" sz="1100" b="0" i="0">
                  <a:latin typeface="Cambria Math" panose="02040503050406030204" pitchFamily="18" charset="0"/>
                </a:rPr>
                <a:t>𝐹𝐻𝑂= </a:t>
              </a:r>
              <a:r>
                <a:rPr lang="en-ZA" sz="1100" b="0" i="0">
                  <a:latin typeface="Cambria Math" panose="02040503050406030204" pitchFamily="18" charset="0"/>
                  <a:ea typeface="Cambria Math" panose="02040503050406030204" pitchFamily="18" charset="0"/>
                </a:rPr>
                <a:t>𝛽_</a:t>
              </a:r>
              <a:r>
                <a:rPr lang="en-ZA" sz="1100" b="0" i="0">
                  <a:latin typeface="Cambria Math" panose="02040503050406030204" pitchFamily="18" charset="0"/>
                </a:rPr>
                <a:t>0+</a:t>
              </a:r>
              <a:r>
                <a:rPr lang="en-ZA" sz="1100" b="0" i="0">
                  <a:solidFill>
                    <a:schemeClr val="tx1"/>
                  </a:solidFill>
                  <a:effectLst/>
                  <a:latin typeface="+mn-lt"/>
                  <a:ea typeface="+mn-ea"/>
                  <a:cs typeface="+mn-cs"/>
                </a:rPr>
                <a:t>𝛽_</a:t>
              </a:r>
              <a:r>
                <a:rPr lang="en-ZA" sz="1100" b="0" i="0">
                  <a:solidFill>
                    <a:schemeClr val="tx1"/>
                  </a:solidFill>
                  <a:effectLst/>
                  <a:latin typeface="Cambria Math" panose="02040503050406030204" pitchFamily="18" charset="0"/>
                  <a:ea typeface="+mn-ea"/>
                  <a:cs typeface="+mn-cs"/>
                </a:rPr>
                <a:t>1 </a:t>
              </a:r>
              <a:r>
                <a:rPr lang="en-ZA" sz="1100" b="0" i="0">
                  <a:latin typeface="Cambria Math" panose="02040503050406030204" pitchFamily="18" charset="0"/>
                </a:rPr>
                <a:t> 𝑀𝑎𝑠𝑠</a:t>
              </a:r>
              <a:endParaRPr lang="en-ZA" sz="1100"/>
            </a:p>
          </xdr:txBody>
        </xdr:sp>
      </mc:Fallback>
    </mc:AlternateContent>
    <xdr:clientData/>
  </xdr:oneCellAnchor>
  <xdr:oneCellAnchor>
    <xdr:from>
      <xdr:col>17</xdr:col>
      <xdr:colOff>15240</xdr:colOff>
      <xdr:row>2</xdr:row>
      <xdr:rowOff>60960</xdr:rowOff>
    </xdr:from>
    <xdr:ext cx="1346651" cy="438150"/>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263E2F54-A677-4CB0-B692-FDED38D696AC}"/>
                </a:ext>
              </a:extLst>
            </xdr:cNvPr>
            <xdr:cNvSpPr txBox="1"/>
          </xdr:nvSpPr>
          <xdr:spPr>
            <a:xfrm>
              <a:off x="10378440" y="426720"/>
              <a:ext cx="1346651" cy="4381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ZA" sz="110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𝑆𝑆</m:t>
                        </m:r>
                      </m:e>
                      <m:sub>
                        <m:r>
                          <a:rPr lang="en-ZA" sz="1100" b="0" i="1">
                            <a:solidFill>
                              <a:schemeClr val="tx1"/>
                            </a:solidFill>
                            <a:effectLst/>
                            <a:latin typeface="Cambria Math" panose="02040503050406030204" pitchFamily="18" charset="0"/>
                            <a:ea typeface="+mn-ea"/>
                            <a:cs typeface="+mn-cs"/>
                          </a:rPr>
                          <m:t>𝑡𝑜𝑡</m:t>
                        </m:r>
                      </m:sub>
                    </m:sSub>
                    <m:r>
                      <a:rPr lang="en-ZA" sz="1100" b="0" i="1">
                        <a:solidFill>
                          <a:schemeClr val="tx1"/>
                        </a:solidFill>
                        <a:effectLst/>
                        <a:latin typeface="Cambria Math" panose="02040503050406030204" pitchFamily="18" charset="0"/>
                        <a:ea typeface="+mn-ea"/>
                        <a:cs typeface="+mn-cs"/>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a:effectLst/>
              </a:endParaRPr>
            </a:p>
            <a:p>
              <a:endParaRPr lang="en-ZA" sz="1100"/>
            </a:p>
          </xdr:txBody>
        </xdr:sp>
      </mc:Choice>
      <mc:Fallback>
        <xdr:sp macro="" textlink="">
          <xdr:nvSpPr>
            <xdr:cNvPr id="8" name="TextBox 7">
              <a:extLst>
                <a:ext uri="{FF2B5EF4-FFF2-40B4-BE49-F238E27FC236}">
                  <a16:creationId xmlns:a16="http://schemas.microsoft.com/office/drawing/2014/main" id="{263E2F54-A677-4CB0-B692-FDED38D696AC}"/>
                </a:ext>
              </a:extLst>
            </xdr:cNvPr>
            <xdr:cNvSpPr txBox="1"/>
          </xdr:nvSpPr>
          <xdr:spPr>
            <a:xfrm>
              <a:off x="10378440" y="426720"/>
              <a:ext cx="1346651" cy="4381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ZA" sz="1100" i="0">
                  <a:solidFill>
                    <a:schemeClr val="tx1"/>
                  </a:solidFill>
                  <a:effectLst/>
                  <a:latin typeface="Cambria Math" panose="02040503050406030204" pitchFamily="18" charset="0"/>
                  <a:ea typeface="+mn-ea"/>
                  <a:cs typeface="+mn-cs"/>
                </a:rPr>
                <a:t>〖</a:t>
              </a:r>
              <a:r>
                <a:rPr lang="en-ZA" sz="1100" b="0" i="0">
                  <a:solidFill>
                    <a:schemeClr val="tx1"/>
                  </a:solidFill>
                  <a:effectLst/>
                  <a:latin typeface="Cambria Math" panose="02040503050406030204" pitchFamily="18" charset="0"/>
                  <a:ea typeface="+mn-ea"/>
                  <a:cs typeface="+mn-cs"/>
                </a:rPr>
                <a:t>𝑆𝑆〗_𝑡𝑜𝑡= ∑▒(𝑦_𝑖−𝑦 ̅ )^2 </a:t>
              </a:r>
              <a:endParaRPr lang="en-ZA">
                <a:effectLst/>
              </a:endParaRPr>
            </a:p>
            <a:p>
              <a:endParaRPr lang="en-ZA"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12</xdr:col>
      <xdr:colOff>419100</xdr:colOff>
      <xdr:row>2</xdr:row>
      <xdr:rowOff>53340</xdr:rowOff>
    </xdr:from>
    <xdr:ext cx="1153415" cy="434340"/>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36C7B135-061E-46F9-95A2-F06AAB8D8C7E}"/>
                </a:ext>
              </a:extLst>
            </xdr:cNvPr>
            <xdr:cNvSpPr txBox="1"/>
          </xdr:nvSpPr>
          <xdr:spPr>
            <a:xfrm>
              <a:off x="7734300" y="41910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ZA" sz="1100" i="1">
                            <a:latin typeface="Cambria Math" panose="02040503050406030204" pitchFamily="18" charset="0"/>
                          </a:rPr>
                        </m:ctrlPr>
                      </m:sSupPr>
                      <m:e>
                        <m:r>
                          <a:rPr lang="en-ZA" sz="1100" b="0" i="1">
                            <a:latin typeface="Cambria Math" panose="02040503050406030204" pitchFamily="18" charset="0"/>
                          </a:rPr>
                          <m:t>𝑅</m:t>
                        </m:r>
                      </m:e>
                      <m:sup>
                        <m:r>
                          <a:rPr lang="en-ZA" sz="1100" b="0" i="1">
                            <a:latin typeface="Cambria Math" panose="02040503050406030204" pitchFamily="18" charset="0"/>
                          </a:rPr>
                          <m:t>2</m:t>
                        </m:r>
                      </m:sup>
                    </m:sSup>
                    <m:r>
                      <a:rPr lang="en-ZA" sz="1100" b="0" i="1">
                        <a:latin typeface="Cambria Math" panose="02040503050406030204" pitchFamily="18" charset="0"/>
                      </a:rPr>
                      <m:t>=1−</m:t>
                    </m:r>
                    <m:f>
                      <m:fPr>
                        <m:ctrlPr>
                          <a:rPr lang="en-ZA" sz="1100" b="0" i="1">
                            <a:latin typeface="Cambria Math" panose="02040503050406030204" pitchFamily="18" charset="0"/>
                          </a:rPr>
                        </m:ctrlPr>
                      </m:fPr>
                      <m:num>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num>
                      <m:den>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den>
                    </m:f>
                  </m:oMath>
                </m:oMathPara>
              </a14:m>
              <a:endParaRPr lang="en-ZA" sz="1100"/>
            </a:p>
          </xdr:txBody>
        </xdr:sp>
      </mc:Choice>
      <mc:Fallback>
        <xdr:sp macro="" textlink="">
          <xdr:nvSpPr>
            <xdr:cNvPr id="3" name="TextBox 2">
              <a:extLst>
                <a:ext uri="{FF2B5EF4-FFF2-40B4-BE49-F238E27FC236}">
                  <a16:creationId xmlns:a16="http://schemas.microsoft.com/office/drawing/2014/main" id="{36C7B135-061E-46F9-95A2-F06AAB8D8C7E}"/>
                </a:ext>
              </a:extLst>
            </xdr:cNvPr>
            <xdr:cNvSpPr txBox="1"/>
          </xdr:nvSpPr>
          <xdr:spPr>
            <a:xfrm>
              <a:off x="7734300" y="41910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b="0" i="0">
                  <a:latin typeface="Cambria Math" panose="02040503050406030204" pitchFamily="18" charset="0"/>
                </a:rPr>
                <a:t>𝑅^2=1−〖𝑆𝑆〗_𝑟𝑒𝑠/〖𝑆𝑆〗_𝑡𝑜𝑡 </a:t>
              </a:r>
              <a:endParaRPr lang="en-ZA" sz="1100"/>
            </a:p>
          </xdr:txBody>
        </xdr:sp>
      </mc:Fallback>
    </mc:AlternateContent>
    <xdr:clientData/>
  </xdr:oneCellAnchor>
  <xdr:oneCellAnchor>
    <xdr:from>
      <xdr:col>14</xdr:col>
      <xdr:colOff>434340</xdr:colOff>
      <xdr:row>2</xdr:row>
      <xdr:rowOff>49530</xdr:rowOff>
    </xdr:from>
    <xdr:ext cx="1370760" cy="407670"/>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2D600F2D-2C8F-4A0D-8F42-6A06EC423859}"/>
                </a:ext>
              </a:extLst>
            </xdr:cNvPr>
            <xdr:cNvSpPr txBox="1"/>
          </xdr:nvSpPr>
          <xdr:spPr>
            <a:xfrm>
              <a:off x="8968740" y="41529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sSub>
                                  <m:sSubPr>
                                    <m:ctrlPr>
                                      <a:rPr lang="en-ZA" sz="1100" b="0" i="1">
                                        <a:solidFill>
                                          <a:schemeClr val="tx1"/>
                                        </a:solidFill>
                                        <a:effectLst/>
                                        <a:latin typeface="Cambria Math" panose="02040503050406030204" pitchFamily="18" charset="0"/>
                                        <a:ea typeface="+mn-ea"/>
                                        <a:cs typeface="+mn-cs"/>
                                      </a:rPr>
                                    </m:ctrlPr>
                                  </m:sSubPr>
                                  <m:e>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sub>
                                    <m:r>
                                      <a:rPr lang="en-ZA" sz="1100" b="0" i="1">
                                        <a:solidFill>
                                          <a:schemeClr val="tx1"/>
                                        </a:solidFill>
                                        <a:effectLst/>
                                        <a:latin typeface="Cambria Math" panose="02040503050406030204" pitchFamily="18" charset="0"/>
                                        <a:ea typeface="+mn-ea"/>
                                        <a:cs typeface="+mn-cs"/>
                                      </a:rPr>
                                      <m:t>𝑖</m:t>
                                    </m:r>
                                  </m:sub>
                                </m:sSub>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dr:sp macro="" textlink="">
          <xdr:nvSpPr>
            <xdr:cNvPr id="4" name="TextBox 3">
              <a:extLst>
                <a:ext uri="{FF2B5EF4-FFF2-40B4-BE49-F238E27FC236}">
                  <a16:creationId xmlns:a16="http://schemas.microsoft.com/office/drawing/2014/main" id="{2D600F2D-2C8F-4A0D-8F42-6A06EC423859}"/>
                </a:ext>
              </a:extLst>
            </xdr:cNvPr>
            <xdr:cNvSpPr txBox="1"/>
          </xdr:nvSpPr>
          <xdr:spPr>
            <a:xfrm>
              <a:off x="8968740" y="41529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i="0">
                  <a:latin typeface="Cambria Math" panose="02040503050406030204" pitchFamily="18" charset="0"/>
                </a:rPr>
                <a:t>〖</a:t>
              </a:r>
              <a:r>
                <a:rPr lang="en-ZA" sz="1100" b="0" i="0">
                  <a:latin typeface="Cambria Math" panose="02040503050406030204" pitchFamily="18" charset="0"/>
                </a:rPr>
                <a:t>𝑆𝑆〗_𝑟𝑒𝑠= </a:t>
              </a:r>
              <a:r>
                <a:rPr lang="en-ZA" sz="1100" b="0" i="0">
                  <a:solidFill>
                    <a:schemeClr val="tx1"/>
                  </a:solidFill>
                  <a:effectLst/>
                  <a:latin typeface="Cambria Math" panose="02040503050406030204" pitchFamily="18" charset="0"/>
                  <a:ea typeface="+mn-ea"/>
                  <a:cs typeface="+mn-cs"/>
                </a:rPr>
                <a:t>∑▒(𝑦_𝑖−𝑦 ̂_𝑖 )^2 </a:t>
              </a:r>
              <a:endParaRPr lang="en-ZA" sz="1100"/>
            </a:p>
          </xdr:txBody>
        </xdr:sp>
      </mc:Fallback>
    </mc:AlternateContent>
    <xdr:clientData/>
  </xdr:oneCellAnchor>
  <xdr:oneCellAnchor>
    <xdr:from>
      <xdr:col>12</xdr:col>
      <xdr:colOff>845820</xdr:colOff>
      <xdr:row>5</xdr:row>
      <xdr:rowOff>125730</xdr:rowOff>
    </xdr:from>
    <xdr:ext cx="65" cy="172227"/>
    <xdr:sp macro="" textlink="">
      <xdr:nvSpPr>
        <xdr:cNvPr id="5" name="TextBox 4">
          <a:extLst>
            <a:ext uri="{FF2B5EF4-FFF2-40B4-BE49-F238E27FC236}">
              <a16:creationId xmlns:a16="http://schemas.microsoft.com/office/drawing/2014/main" id="{393AB351-AD93-4541-8144-BAAE598C0018}"/>
            </a:ext>
          </a:extLst>
        </xdr:cNvPr>
        <xdr:cNvSpPr txBox="1"/>
      </xdr:nvSpPr>
      <xdr:spPr>
        <a:xfrm>
          <a:off x="9563100" y="10401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9</xdr:col>
      <xdr:colOff>0</xdr:colOff>
      <xdr:row>3</xdr:row>
      <xdr:rowOff>179070</xdr:rowOff>
    </xdr:from>
    <xdr:ext cx="2102435" cy="172227"/>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B2774475-95A5-4896-BD2C-1F15D60CB92D}"/>
                </a:ext>
              </a:extLst>
            </xdr:cNvPr>
            <xdr:cNvSpPr txBox="1"/>
          </xdr:nvSpPr>
          <xdr:spPr>
            <a:xfrm>
              <a:off x="5486400" y="727710"/>
              <a:ext cx="2102435"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=722,8318+0,349343 </m:t>
                    </m:r>
                    <m:r>
                      <a:rPr lang="en-ZA" sz="1100" b="0" i="1">
                        <a:latin typeface="Cambria Math" panose="02040503050406030204" pitchFamily="18" charset="0"/>
                      </a:rPr>
                      <m:t>𝐴𝑔𝑒</m:t>
                    </m:r>
                  </m:oMath>
                </m:oMathPara>
              </a14:m>
              <a:endParaRPr lang="en-ZA" sz="1100" b="0"/>
            </a:p>
          </xdr:txBody>
        </xdr:sp>
      </mc:Choice>
      <mc:Fallback>
        <xdr:sp macro="" textlink="">
          <xdr:nvSpPr>
            <xdr:cNvPr id="6" name="TextBox 5">
              <a:extLst>
                <a:ext uri="{FF2B5EF4-FFF2-40B4-BE49-F238E27FC236}">
                  <a16:creationId xmlns:a16="http://schemas.microsoft.com/office/drawing/2014/main" id="{B2774475-95A5-4896-BD2C-1F15D60CB92D}"/>
                </a:ext>
              </a:extLst>
            </xdr:cNvPr>
            <xdr:cNvSpPr txBox="1"/>
          </xdr:nvSpPr>
          <xdr:spPr>
            <a:xfrm>
              <a:off x="5486400" y="727710"/>
              <a:ext cx="2102435"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ZA" sz="1100" b="0" i="0">
                  <a:latin typeface="Cambria Math" panose="02040503050406030204" pitchFamily="18" charset="0"/>
                </a:rPr>
                <a:t>𝐹𝐻𝑂=722,8318+0,349343 𝐴𝑔𝑒</a:t>
              </a:r>
              <a:endParaRPr lang="en-ZA" sz="1100" b="0"/>
            </a:p>
          </xdr:txBody>
        </xdr:sp>
      </mc:Fallback>
    </mc:AlternateContent>
    <xdr:clientData/>
  </xdr:oneCellAnchor>
  <xdr:oneCellAnchor>
    <xdr:from>
      <xdr:col>9</xdr:col>
      <xdr:colOff>30480</xdr:colOff>
      <xdr:row>2</xdr:row>
      <xdr:rowOff>125730</xdr:rowOff>
    </xdr:from>
    <xdr:ext cx="1262782"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EFCF355-B6B1-4EB5-803F-459470F30EF0}"/>
                </a:ext>
              </a:extLst>
            </xdr:cNvPr>
            <xdr:cNvSpPr txBox="1"/>
          </xdr:nvSpPr>
          <xdr:spPr>
            <a:xfrm>
              <a:off x="5516880" y="491490"/>
              <a:ext cx="1262782"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 </m:t>
                    </m:r>
                    <m:sSub>
                      <m:sSubPr>
                        <m:ctrlPr>
                          <a:rPr lang="en-ZA" sz="1100" b="0" i="1">
                            <a:latin typeface="Cambria Math" panose="02040503050406030204" pitchFamily="18" charset="0"/>
                          </a:rPr>
                        </m:ctrlPr>
                      </m:sSubPr>
                      <m:e>
                        <m:r>
                          <a:rPr lang="en-ZA" sz="1100" b="0" i="1">
                            <a:latin typeface="Cambria Math" panose="02040503050406030204" pitchFamily="18" charset="0"/>
                            <a:ea typeface="Cambria Math" panose="02040503050406030204" pitchFamily="18" charset="0"/>
                          </a:rPr>
                          <m:t>𝛽</m:t>
                        </m:r>
                      </m:e>
                      <m:sub>
                        <m:r>
                          <a:rPr lang="en-ZA" sz="1100" b="0" i="1">
                            <a:latin typeface="Cambria Math" panose="02040503050406030204" pitchFamily="18" charset="0"/>
                          </a:rPr>
                          <m:t>0</m:t>
                        </m:r>
                      </m:sub>
                    </m:sSub>
                    <m:r>
                      <a:rPr lang="en-ZA" sz="1100" b="0" i="1">
                        <a:latin typeface="Cambria Math" panose="02040503050406030204" pitchFamily="18" charset="0"/>
                      </a:rPr>
                      <m:t>+</m:t>
                    </m:r>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𝛽</m:t>
                        </m:r>
                      </m:e>
                      <m:sub>
                        <m:r>
                          <a:rPr lang="en-ZA" sz="1100" b="0" i="1">
                            <a:solidFill>
                              <a:schemeClr val="tx1"/>
                            </a:solidFill>
                            <a:effectLst/>
                            <a:latin typeface="Cambria Math" panose="02040503050406030204" pitchFamily="18" charset="0"/>
                            <a:ea typeface="+mn-ea"/>
                            <a:cs typeface="+mn-cs"/>
                          </a:rPr>
                          <m:t>1</m:t>
                        </m:r>
                      </m:sub>
                    </m:sSub>
                    <m:r>
                      <a:rPr lang="en-ZA" sz="1100" b="0" i="1">
                        <a:latin typeface="Cambria Math" panose="02040503050406030204" pitchFamily="18" charset="0"/>
                      </a:rPr>
                      <m:t> </m:t>
                    </m:r>
                    <m:r>
                      <a:rPr lang="en-ZA" sz="1100" b="0" i="1">
                        <a:latin typeface="Cambria Math" panose="02040503050406030204" pitchFamily="18" charset="0"/>
                      </a:rPr>
                      <m:t>𝐴𝑔𝑒</m:t>
                    </m:r>
                  </m:oMath>
                </m:oMathPara>
              </a14:m>
              <a:endParaRPr lang="en-ZA" sz="1100"/>
            </a:p>
          </xdr:txBody>
        </xdr:sp>
      </mc:Choice>
      <mc:Fallback xmlns="">
        <xdr:sp macro="" textlink="">
          <xdr:nvSpPr>
            <xdr:cNvPr id="7" name="TextBox 6">
              <a:extLst>
                <a:ext uri="{FF2B5EF4-FFF2-40B4-BE49-F238E27FC236}">
                  <a16:creationId xmlns:a16="http://schemas.microsoft.com/office/drawing/2014/main" id="{EEFCF355-B6B1-4EB5-803F-459470F30EF0}"/>
                </a:ext>
              </a:extLst>
            </xdr:cNvPr>
            <xdr:cNvSpPr txBox="1"/>
          </xdr:nvSpPr>
          <xdr:spPr>
            <a:xfrm>
              <a:off x="5516880" y="491490"/>
              <a:ext cx="1262782"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ZA" sz="1100" b="0" i="0">
                  <a:latin typeface="Cambria Math" panose="02040503050406030204" pitchFamily="18" charset="0"/>
                </a:rPr>
                <a:t>𝐹𝐻𝑂= </a:t>
              </a:r>
              <a:r>
                <a:rPr lang="en-ZA" sz="1100" b="0" i="0">
                  <a:latin typeface="Cambria Math" panose="02040503050406030204" pitchFamily="18" charset="0"/>
                  <a:ea typeface="Cambria Math" panose="02040503050406030204" pitchFamily="18" charset="0"/>
                </a:rPr>
                <a:t>𝛽_</a:t>
              </a:r>
              <a:r>
                <a:rPr lang="en-ZA" sz="1100" b="0" i="0">
                  <a:latin typeface="Cambria Math" panose="02040503050406030204" pitchFamily="18" charset="0"/>
                </a:rPr>
                <a:t>0+</a:t>
              </a:r>
              <a:r>
                <a:rPr lang="en-ZA" sz="1100" b="0" i="0">
                  <a:solidFill>
                    <a:schemeClr val="tx1"/>
                  </a:solidFill>
                  <a:effectLst/>
                  <a:latin typeface="+mn-lt"/>
                  <a:ea typeface="+mn-ea"/>
                  <a:cs typeface="+mn-cs"/>
                </a:rPr>
                <a:t>𝛽_</a:t>
              </a:r>
              <a:r>
                <a:rPr lang="en-ZA" sz="1100" b="0" i="0">
                  <a:solidFill>
                    <a:schemeClr val="tx1"/>
                  </a:solidFill>
                  <a:effectLst/>
                  <a:latin typeface="Cambria Math" panose="02040503050406030204" pitchFamily="18" charset="0"/>
                  <a:ea typeface="+mn-ea"/>
                  <a:cs typeface="+mn-cs"/>
                </a:rPr>
                <a:t>1 </a:t>
              </a:r>
              <a:r>
                <a:rPr lang="en-ZA" sz="1100" b="0" i="0">
                  <a:latin typeface="Cambria Math" panose="02040503050406030204" pitchFamily="18" charset="0"/>
                </a:rPr>
                <a:t> 𝐴𝑔𝑒</a:t>
              </a:r>
              <a:endParaRPr lang="en-ZA" sz="1100"/>
            </a:p>
          </xdr:txBody>
        </xdr:sp>
      </mc:Fallback>
    </mc:AlternateContent>
    <xdr:clientData/>
  </xdr:oneCellAnchor>
  <xdr:oneCellAnchor>
    <xdr:from>
      <xdr:col>17</xdr:col>
      <xdr:colOff>60960</xdr:colOff>
      <xdr:row>2</xdr:row>
      <xdr:rowOff>53340</xdr:rowOff>
    </xdr:from>
    <xdr:ext cx="1346651" cy="438150"/>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242100F9-8212-4D34-86CC-A8EC23C4884F}"/>
                </a:ext>
              </a:extLst>
            </xdr:cNvPr>
            <xdr:cNvSpPr txBox="1"/>
          </xdr:nvSpPr>
          <xdr:spPr>
            <a:xfrm>
              <a:off x="10424160" y="419100"/>
              <a:ext cx="1346651" cy="4381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ZA" sz="110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𝑆𝑆</m:t>
                        </m:r>
                      </m:e>
                      <m:sub>
                        <m:r>
                          <a:rPr lang="en-ZA" sz="1100" b="0" i="1">
                            <a:solidFill>
                              <a:schemeClr val="tx1"/>
                            </a:solidFill>
                            <a:effectLst/>
                            <a:latin typeface="Cambria Math" panose="02040503050406030204" pitchFamily="18" charset="0"/>
                            <a:ea typeface="+mn-ea"/>
                            <a:cs typeface="+mn-cs"/>
                          </a:rPr>
                          <m:t>𝑡𝑜𝑡</m:t>
                        </m:r>
                      </m:sub>
                    </m:sSub>
                    <m:r>
                      <a:rPr lang="en-ZA" sz="1100" b="0" i="1">
                        <a:solidFill>
                          <a:schemeClr val="tx1"/>
                        </a:solidFill>
                        <a:effectLst/>
                        <a:latin typeface="Cambria Math" panose="02040503050406030204" pitchFamily="18" charset="0"/>
                        <a:ea typeface="+mn-ea"/>
                        <a:cs typeface="+mn-cs"/>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a:effectLst/>
              </a:endParaRPr>
            </a:p>
            <a:p>
              <a:endParaRPr lang="en-ZA" sz="1100"/>
            </a:p>
          </xdr:txBody>
        </xdr:sp>
      </mc:Choice>
      <mc:Fallback>
        <xdr:sp macro="" textlink="">
          <xdr:nvSpPr>
            <xdr:cNvPr id="8" name="TextBox 7">
              <a:extLst>
                <a:ext uri="{FF2B5EF4-FFF2-40B4-BE49-F238E27FC236}">
                  <a16:creationId xmlns:a16="http://schemas.microsoft.com/office/drawing/2014/main" id="{242100F9-8212-4D34-86CC-A8EC23C4884F}"/>
                </a:ext>
              </a:extLst>
            </xdr:cNvPr>
            <xdr:cNvSpPr txBox="1"/>
          </xdr:nvSpPr>
          <xdr:spPr>
            <a:xfrm>
              <a:off x="10424160" y="419100"/>
              <a:ext cx="1346651" cy="4381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ZA" sz="1100" i="0">
                  <a:solidFill>
                    <a:schemeClr val="tx1"/>
                  </a:solidFill>
                  <a:effectLst/>
                  <a:latin typeface="Cambria Math" panose="02040503050406030204" pitchFamily="18" charset="0"/>
                  <a:ea typeface="+mn-ea"/>
                  <a:cs typeface="+mn-cs"/>
                </a:rPr>
                <a:t>〖</a:t>
              </a:r>
              <a:r>
                <a:rPr lang="en-ZA" sz="1100" b="0" i="0">
                  <a:solidFill>
                    <a:schemeClr val="tx1"/>
                  </a:solidFill>
                  <a:effectLst/>
                  <a:latin typeface="Cambria Math" panose="02040503050406030204" pitchFamily="18" charset="0"/>
                  <a:ea typeface="+mn-ea"/>
                  <a:cs typeface="+mn-cs"/>
                </a:rPr>
                <a:t>𝑆𝑆〗_𝑡𝑜𝑡= ∑▒(𝑦_𝑖−𝑦 ̅ )^2 </a:t>
              </a:r>
              <a:endParaRPr lang="en-ZA">
                <a:effectLst/>
              </a:endParaRPr>
            </a:p>
            <a:p>
              <a:endParaRPr lang="en-ZA" sz="1100"/>
            </a:p>
          </xdr:txBody>
        </xdr:sp>
      </mc:Fallback>
    </mc:AlternateContent>
    <xdr:clientData/>
  </xdr:oneCellAnchor>
  <xdr:twoCellAnchor>
    <xdr:from>
      <xdr:col>9</xdr:col>
      <xdr:colOff>99060</xdr:colOff>
      <xdr:row>10</xdr:row>
      <xdr:rowOff>171450</xdr:rowOff>
    </xdr:from>
    <xdr:to>
      <xdr:col>16</xdr:col>
      <xdr:colOff>403860</xdr:colOff>
      <xdr:row>25</xdr:row>
      <xdr:rowOff>171450</xdr:rowOff>
    </xdr:to>
    <xdr:graphicFrame macro="">
      <xdr:nvGraphicFramePr>
        <xdr:cNvPr id="9" name="Chart 8">
          <a:extLst>
            <a:ext uri="{FF2B5EF4-FFF2-40B4-BE49-F238E27FC236}">
              <a16:creationId xmlns:a16="http://schemas.microsoft.com/office/drawing/2014/main" id="{F8C26EA6-F83F-7748-DB28-50388CB6B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5</xdr:row>
      <xdr:rowOff>125730</xdr:rowOff>
    </xdr:from>
    <xdr:ext cx="65" cy="172227"/>
    <xdr:sp macro="" textlink="">
      <xdr:nvSpPr>
        <xdr:cNvPr id="4" name="TextBox 3">
          <a:extLst>
            <a:ext uri="{FF2B5EF4-FFF2-40B4-BE49-F238E27FC236}">
              <a16:creationId xmlns:a16="http://schemas.microsoft.com/office/drawing/2014/main" id="{0661E9B1-A06B-438F-92FB-86EA6C756CC0}"/>
            </a:ext>
          </a:extLst>
        </xdr:cNvPr>
        <xdr:cNvSpPr txBox="1"/>
      </xdr:nvSpPr>
      <xdr:spPr>
        <a:xfrm>
          <a:off x="8839200" y="10401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13</xdr:col>
      <xdr:colOff>30480</xdr:colOff>
      <xdr:row>2</xdr:row>
      <xdr:rowOff>83820</xdr:rowOff>
    </xdr:from>
    <xdr:ext cx="1153415" cy="434340"/>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A7EB460D-991A-4745-B761-88FC46AA98DB}"/>
                </a:ext>
              </a:extLst>
            </xdr:cNvPr>
            <xdr:cNvSpPr txBox="1"/>
          </xdr:nvSpPr>
          <xdr:spPr>
            <a:xfrm>
              <a:off x="7955280" y="44958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ZA" sz="1100" i="1">
                            <a:latin typeface="Cambria Math" panose="02040503050406030204" pitchFamily="18" charset="0"/>
                          </a:rPr>
                        </m:ctrlPr>
                      </m:sSupPr>
                      <m:e>
                        <m:r>
                          <a:rPr lang="en-ZA" sz="1100" b="0" i="1">
                            <a:latin typeface="Cambria Math" panose="02040503050406030204" pitchFamily="18" charset="0"/>
                          </a:rPr>
                          <m:t>𝑅</m:t>
                        </m:r>
                      </m:e>
                      <m:sup>
                        <m:r>
                          <a:rPr lang="en-ZA" sz="1100" b="0" i="1">
                            <a:latin typeface="Cambria Math" panose="02040503050406030204" pitchFamily="18" charset="0"/>
                          </a:rPr>
                          <m:t>2</m:t>
                        </m:r>
                      </m:sup>
                    </m:sSup>
                    <m:r>
                      <a:rPr lang="en-ZA" sz="1100" b="0" i="1">
                        <a:latin typeface="Cambria Math" panose="02040503050406030204" pitchFamily="18" charset="0"/>
                      </a:rPr>
                      <m:t>=1−</m:t>
                    </m:r>
                    <m:f>
                      <m:fPr>
                        <m:ctrlPr>
                          <a:rPr lang="en-ZA" sz="1100" b="0" i="1">
                            <a:latin typeface="Cambria Math" panose="02040503050406030204" pitchFamily="18" charset="0"/>
                          </a:rPr>
                        </m:ctrlPr>
                      </m:fPr>
                      <m:num>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num>
                      <m:den>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den>
                    </m:f>
                  </m:oMath>
                </m:oMathPara>
              </a14:m>
              <a:endParaRPr lang="en-ZA" sz="1100"/>
            </a:p>
          </xdr:txBody>
        </xdr:sp>
      </mc:Choice>
      <mc:Fallback>
        <xdr:sp macro="" textlink="">
          <xdr:nvSpPr>
            <xdr:cNvPr id="7" name="TextBox 6">
              <a:extLst>
                <a:ext uri="{FF2B5EF4-FFF2-40B4-BE49-F238E27FC236}">
                  <a16:creationId xmlns:a16="http://schemas.microsoft.com/office/drawing/2014/main" id="{A7EB460D-991A-4745-B761-88FC46AA98DB}"/>
                </a:ext>
              </a:extLst>
            </xdr:cNvPr>
            <xdr:cNvSpPr txBox="1"/>
          </xdr:nvSpPr>
          <xdr:spPr>
            <a:xfrm>
              <a:off x="7955280" y="44958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b="0" i="0">
                  <a:latin typeface="Cambria Math" panose="02040503050406030204" pitchFamily="18" charset="0"/>
                </a:rPr>
                <a:t>𝑅^2=1−〖𝑆𝑆〗_𝑟𝑒𝑠/〖𝑆𝑆〗_𝑡𝑜𝑡 </a:t>
              </a:r>
              <a:endParaRPr lang="en-ZA" sz="1100"/>
            </a:p>
          </xdr:txBody>
        </xdr:sp>
      </mc:Fallback>
    </mc:AlternateContent>
    <xdr:clientData/>
  </xdr:oneCellAnchor>
  <xdr:oneCellAnchor>
    <xdr:from>
      <xdr:col>13</xdr:col>
      <xdr:colOff>45720</xdr:colOff>
      <xdr:row>5</xdr:row>
      <xdr:rowOff>80010</xdr:rowOff>
    </xdr:from>
    <xdr:ext cx="1370760" cy="407670"/>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6841B6D2-731E-4214-B687-E17EA3D1D3D5}"/>
                </a:ext>
              </a:extLst>
            </xdr:cNvPr>
            <xdr:cNvSpPr txBox="1"/>
          </xdr:nvSpPr>
          <xdr:spPr>
            <a:xfrm>
              <a:off x="7970520" y="99441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sSub>
                                  <m:sSubPr>
                                    <m:ctrlPr>
                                      <a:rPr lang="en-ZA" sz="1100" b="0" i="1">
                                        <a:solidFill>
                                          <a:schemeClr val="tx1"/>
                                        </a:solidFill>
                                        <a:effectLst/>
                                        <a:latin typeface="Cambria Math" panose="02040503050406030204" pitchFamily="18" charset="0"/>
                                        <a:ea typeface="+mn-ea"/>
                                        <a:cs typeface="+mn-cs"/>
                                      </a:rPr>
                                    </m:ctrlPr>
                                  </m:sSubPr>
                                  <m:e>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sub>
                                    <m:r>
                                      <a:rPr lang="en-ZA" sz="1100" b="0" i="1">
                                        <a:solidFill>
                                          <a:schemeClr val="tx1"/>
                                        </a:solidFill>
                                        <a:effectLst/>
                                        <a:latin typeface="Cambria Math" panose="02040503050406030204" pitchFamily="18" charset="0"/>
                                        <a:ea typeface="+mn-ea"/>
                                        <a:cs typeface="+mn-cs"/>
                                      </a:rPr>
                                      <m:t>𝑖</m:t>
                                    </m:r>
                                  </m:sub>
                                </m:sSub>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dr:sp macro="" textlink="">
          <xdr:nvSpPr>
            <xdr:cNvPr id="8" name="TextBox 7">
              <a:extLst>
                <a:ext uri="{FF2B5EF4-FFF2-40B4-BE49-F238E27FC236}">
                  <a16:creationId xmlns:a16="http://schemas.microsoft.com/office/drawing/2014/main" id="{6841B6D2-731E-4214-B687-E17EA3D1D3D5}"/>
                </a:ext>
              </a:extLst>
            </xdr:cNvPr>
            <xdr:cNvSpPr txBox="1"/>
          </xdr:nvSpPr>
          <xdr:spPr>
            <a:xfrm>
              <a:off x="7970520" y="99441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i="0">
                  <a:latin typeface="Cambria Math" panose="02040503050406030204" pitchFamily="18" charset="0"/>
                </a:rPr>
                <a:t>〖</a:t>
              </a:r>
              <a:r>
                <a:rPr lang="en-ZA" sz="1100" b="0" i="0">
                  <a:latin typeface="Cambria Math" panose="02040503050406030204" pitchFamily="18" charset="0"/>
                </a:rPr>
                <a:t>𝑆𝑆〗_𝑟𝑒𝑠= </a:t>
              </a:r>
              <a:r>
                <a:rPr lang="en-ZA" sz="1100" b="0" i="0">
                  <a:solidFill>
                    <a:schemeClr val="tx1"/>
                  </a:solidFill>
                  <a:effectLst/>
                  <a:latin typeface="Cambria Math" panose="02040503050406030204" pitchFamily="18" charset="0"/>
                  <a:ea typeface="+mn-ea"/>
                  <a:cs typeface="+mn-cs"/>
                </a:rPr>
                <a:t>∑▒(𝑦_𝑖−𝑦 ̂_𝑖 )^2 </a:t>
              </a:r>
              <a:endParaRPr lang="en-ZA" sz="1100"/>
            </a:p>
          </xdr:txBody>
        </xdr:sp>
      </mc:Fallback>
    </mc:AlternateContent>
    <xdr:clientData/>
  </xdr:oneCellAnchor>
  <xdr:oneCellAnchor>
    <xdr:from>
      <xdr:col>11</xdr:col>
      <xdr:colOff>845820</xdr:colOff>
      <xdr:row>5</xdr:row>
      <xdr:rowOff>125730</xdr:rowOff>
    </xdr:from>
    <xdr:ext cx="65" cy="172227"/>
    <xdr:sp macro="" textlink="">
      <xdr:nvSpPr>
        <xdr:cNvPr id="9" name="TextBox 8">
          <a:extLst>
            <a:ext uri="{FF2B5EF4-FFF2-40B4-BE49-F238E27FC236}">
              <a16:creationId xmlns:a16="http://schemas.microsoft.com/office/drawing/2014/main" id="{58EA8843-EF2E-4BF1-86D4-FF0D64CE5746}"/>
            </a:ext>
          </a:extLst>
        </xdr:cNvPr>
        <xdr:cNvSpPr txBox="1"/>
      </xdr:nvSpPr>
      <xdr:spPr>
        <a:xfrm>
          <a:off x="7924800" y="10401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9</xdr:col>
      <xdr:colOff>7620</xdr:colOff>
      <xdr:row>2</xdr:row>
      <xdr:rowOff>45720</xdr:rowOff>
    </xdr:from>
    <xdr:ext cx="2102435" cy="172227"/>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DED1E406-FDE6-408C-A5B0-8EB12439B9A1}"/>
                </a:ext>
              </a:extLst>
            </xdr:cNvPr>
            <xdr:cNvSpPr txBox="1"/>
          </xdr:nvSpPr>
          <xdr:spPr>
            <a:xfrm>
              <a:off x="5494020" y="411480"/>
              <a:ext cx="2102435"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=722,8318+0,349343 </m:t>
                    </m:r>
                    <m:r>
                      <a:rPr lang="en-ZA" sz="1100" b="0" i="1">
                        <a:latin typeface="Cambria Math" panose="02040503050406030204" pitchFamily="18" charset="0"/>
                      </a:rPr>
                      <m:t>𝐴𝑔𝑒</m:t>
                    </m:r>
                  </m:oMath>
                </m:oMathPara>
              </a14:m>
              <a:endParaRPr lang="en-ZA" sz="1100" b="0"/>
            </a:p>
          </xdr:txBody>
        </xdr:sp>
      </mc:Choice>
      <mc:Fallback>
        <xdr:sp macro="" textlink="">
          <xdr:nvSpPr>
            <xdr:cNvPr id="3" name="TextBox 2">
              <a:extLst>
                <a:ext uri="{FF2B5EF4-FFF2-40B4-BE49-F238E27FC236}">
                  <a16:creationId xmlns:a16="http://schemas.microsoft.com/office/drawing/2014/main" id="{DED1E406-FDE6-408C-A5B0-8EB12439B9A1}"/>
                </a:ext>
              </a:extLst>
            </xdr:cNvPr>
            <xdr:cNvSpPr txBox="1"/>
          </xdr:nvSpPr>
          <xdr:spPr>
            <a:xfrm>
              <a:off x="5494020" y="411480"/>
              <a:ext cx="2102435"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ZA" sz="1100" b="0" i="0">
                  <a:latin typeface="Cambria Math" panose="02040503050406030204" pitchFamily="18" charset="0"/>
                </a:rPr>
                <a:t>𝐹𝐻𝑂=722,8318+0,349343 𝐴𝑔𝑒</a:t>
              </a:r>
              <a:endParaRPr lang="en-ZA" sz="1100" b="0"/>
            </a:p>
          </xdr:txBody>
        </xdr:sp>
      </mc:Fallback>
    </mc:AlternateContent>
    <xdr:clientData/>
  </xdr:oneCellAnchor>
  <xdr:oneCellAnchor>
    <xdr:from>
      <xdr:col>13</xdr:col>
      <xdr:colOff>45720</xdr:colOff>
      <xdr:row>8</xdr:row>
      <xdr:rowOff>15240</xdr:rowOff>
    </xdr:from>
    <xdr:ext cx="1370760" cy="407670"/>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F106E561-52FD-4D60-896B-CE57562446E6}"/>
                </a:ext>
              </a:extLst>
            </xdr:cNvPr>
            <xdr:cNvSpPr txBox="1"/>
          </xdr:nvSpPr>
          <xdr:spPr>
            <a:xfrm>
              <a:off x="7970520" y="147828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dr:sp macro="" textlink="">
          <xdr:nvSpPr>
            <xdr:cNvPr id="6" name="TextBox 5">
              <a:extLst>
                <a:ext uri="{FF2B5EF4-FFF2-40B4-BE49-F238E27FC236}">
                  <a16:creationId xmlns:a16="http://schemas.microsoft.com/office/drawing/2014/main" id="{F106E561-52FD-4D60-896B-CE57562446E6}"/>
                </a:ext>
              </a:extLst>
            </xdr:cNvPr>
            <xdr:cNvSpPr txBox="1"/>
          </xdr:nvSpPr>
          <xdr:spPr>
            <a:xfrm>
              <a:off x="7970520" y="147828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i="0">
                  <a:latin typeface="Cambria Math" panose="02040503050406030204" pitchFamily="18" charset="0"/>
                </a:rPr>
                <a:t>〖</a:t>
              </a:r>
              <a:r>
                <a:rPr lang="en-ZA" sz="1100" b="0" i="0">
                  <a:latin typeface="Cambria Math" panose="02040503050406030204" pitchFamily="18" charset="0"/>
                </a:rPr>
                <a:t>𝑆𝑆〗_𝑡𝑜𝑡= </a:t>
              </a:r>
              <a:r>
                <a:rPr lang="en-ZA" sz="1100" b="0" i="0">
                  <a:solidFill>
                    <a:schemeClr val="tx1"/>
                  </a:solidFill>
                  <a:effectLst/>
                  <a:latin typeface="Cambria Math" panose="02040503050406030204" pitchFamily="18" charset="0"/>
                  <a:ea typeface="+mn-ea"/>
                  <a:cs typeface="+mn-cs"/>
                </a:rPr>
                <a:t>∑▒(𝑦_𝑖−𝑦 ̅ )^2 </a:t>
              </a:r>
              <a:endParaRPr lang="en-ZA"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9</xdr:col>
      <xdr:colOff>0</xdr:colOff>
      <xdr:row>3</xdr:row>
      <xdr:rowOff>0</xdr:rowOff>
    </xdr:from>
    <xdr:ext cx="2153282"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CC7FCB9-4FE2-4736-A709-897D3A423B8E}"/>
                </a:ext>
              </a:extLst>
            </xdr:cNvPr>
            <xdr:cNvSpPr txBox="1"/>
          </xdr:nvSpPr>
          <xdr:spPr>
            <a:xfrm>
              <a:off x="6705600" y="548640"/>
              <a:ext cx="2153282"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=503,5329+21,10428 </m:t>
                    </m:r>
                    <m:r>
                      <a:rPr lang="en-ZA" sz="1100" b="0" i="1">
                        <a:latin typeface="Cambria Math" panose="02040503050406030204" pitchFamily="18" charset="0"/>
                      </a:rPr>
                      <m:t>𝑊𝑆𝑃</m:t>
                    </m:r>
                  </m:oMath>
                </m:oMathPara>
              </a14:m>
              <a:endParaRPr lang="en-ZA" sz="1100" b="0"/>
            </a:p>
          </xdr:txBody>
        </xdr:sp>
      </mc:Choice>
      <mc:Fallback xmlns="">
        <xdr:sp macro="" textlink="">
          <xdr:nvSpPr>
            <xdr:cNvPr id="2" name="TextBox 1">
              <a:extLst>
                <a:ext uri="{FF2B5EF4-FFF2-40B4-BE49-F238E27FC236}">
                  <a16:creationId xmlns:a16="http://schemas.microsoft.com/office/drawing/2014/main" id="{ACC7FCB9-4FE2-4736-A709-897D3A423B8E}"/>
                </a:ext>
              </a:extLst>
            </xdr:cNvPr>
            <xdr:cNvSpPr txBox="1"/>
          </xdr:nvSpPr>
          <xdr:spPr>
            <a:xfrm>
              <a:off x="6705600" y="548640"/>
              <a:ext cx="2153282"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ZA" sz="1100" b="0" i="0">
                  <a:latin typeface="Cambria Math" panose="02040503050406030204" pitchFamily="18" charset="0"/>
                </a:rPr>
                <a:t>𝐹𝐻𝑂=503,5329+21,10428 𝑊𝑆𝑃</a:t>
              </a:r>
              <a:endParaRPr lang="en-ZA" sz="1100" b="0"/>
            </a:p>
          </xdr:txBody>
        </xdr:sp>
      </mc:Fallback>
    </mc:AlternateContent>
    <xdr:clientData/>
  </xdr:oneCellAnchor>
  <xdr:oneCellAnchor>
    <xdr:from>
      <xdr:col>13</xdr:col>
      <xdr:colOff>7620</xdr:colOff>
      <xdr:row>3</xdr:row>
      <xdr:rowOff>0</xdr:rowOff>
    </xdr:from>
    <xdr:ext cx="1153415" cy="434340"/>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A33D4F10-9916-4B9A-8355-0A33872B7881}"/>
                </a:ext>
              </a:extLst>
            </xdr:cNvPr>
            <xdr:cNvSpPr txBox="1"/>
          </xdr:nvSpPr>
          <xdr:spPr>
            <a:xfrm>
              <a:off x="8077200" y="54864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ZA" sz="1100" i="1">
                            <a:latin typeface="Cambria Math" panose="02040503050406030204" pitchFamily="18" charset="0"/>
                          </a:rPr>
                        </m:ctrlPr>
                      </m:sSupPr>
                      <m:e>
                        <m:r>
                          <a:rPr lang="en-ZA" sz="1100" b="0" i="1">
                            <a:latin typeface="Cambria Math" panose="02040503050406030204" pitchFamily="18" charset="0"/>
                          </a:rPr>
                          <m:t>𝑅</m:t>
                        </m:r>
                      </m:e>
                      <m:sup>
                        <m:r>
                          <a:rPr lang="en-ZA" sz="1100" b="0" i="1">
                            <a:latin typeface="Cambria Math" panose="02040503050406030204" pitchFamily="18" charset="0"/>
                          </a:rPr>
                          <m:t>2</m:t>
                        </m:r>
                      </m:sup>
                    </m:sSup>
                    <m:r>
                      <a:rPr lang="en-ZA" sz="1100" b="0" i="1">
                        <a:latin typeface="Cambria Math" panose="02040503050406030204" pitchFamily="18" charset="0"/>
                      </a:rPr>
                      <m:t>=1−</m:t>
                    </m:r>
                    <m:f>
                      <m:fPr>
                        <m:ctrlPr>
                          <a:rPr lang="en-ZA" sz="1100" b="0" i="1">
                            <a:latin typeface="Cambria Math" panose="02040503050406030204" pitchFamily="18" charset="0"/>
                          </a:rPr>
                        </m:ctrlPr>
                      </m:fPr>
                      <m:num>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num>
                      <m:den>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den>
                    </m:f>
                  </m:oMath>
                </m:oMathPara>
              </a14:m>
              <a:endParaRPr lang="en-ZA" sz="1100"/>
            </a:p>
          </xdr:txBody>
        </xdr:sp>
      </mc:Choice>
      <mc:Fallback>
        <xdr:sp macro="" textlink="">
          <xdr:nvSpPr>
            <xdr:cNvPr id="4" name="TextBox 3">
              <a:extLst>
                <a:ext uri="{FF2B5EF4-FFF2-40B4-BE49-F238E27FC236}">
                  <a16:creationId xmlns:a16="http://schemas.microsoft.com/office/drawing/2014/main" id="{A33D4F10-9916-4B9A-8355-0A33872B7881}"/>
                </a:ext>
              </a:extLst>
            </xdr:cNvPr>
            <xdr:cNvSpPr txBox="1"/>
          </xdr:nvSpPr>
          <xdr:spPr>
            <a:xfrm>
              <a:off x="8077200" y="548640"/>
              <a:ext cx="1153415" cy="43434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b="0" i="0">
                  <a:latin typeface="Cambria Math" panose="02040503050406030204" pitchFamily="18" charset="0"/>
                </a:rPr>
                <a:t>𝑅^2=1−〖𝑆𝑆〗_𝑟𝑒𝑠/〖𝑆𝑆〗_𝑡𝑜𝑡 </a:t>
              </a:r>
              <a:endParaRPr lang="en-ZA" sz="1100"/>
            </a:p>
          </xdr:txBody>
        </xdr:sp>
      </mc:Fallback>
    </mc:AlternateContent>
    <xdr:clientData/>
  </xdr:oneCellAnchor>
  <xdr:twoCellAnchor editAs="oneCell">
    <xdr:from>
      <xdr:col>13</xdr:col>
      <xdr:colOff>0</xdr:colOff>
      <xdr:row>6</xdr:row>
      <xdr:rowOff>0</xdr:rowOff>
    </xdr:from>
    <xdr:to>
      <xdr:col>15</xdr:col>
      <xdr:colOff>152519</xdr:colOff>
      <xdr:row>8</xdr:row>
      <xdr:rowOff>48804</xdr:rowOff>
    </xdr:to>
    <xdr:pic>
      <xdr:nvPicPr>
        <xdr:cNvPr id="6" name="Picture 5">
          <a:extLst>
            <a:ext uri="{FF2B5EF4-FFF2-40B4-BE49-F238E27FC236}">
              <a16:creationId xmlns:a16="http://schemas.microsoft.com/office/drawing/2014/main" id="{A4804A10-3D8B-3519-CED6-92AE57E413AE}"/>
            </a:ext>
          </a:extLst>
        </xdr:cNvPr>
        <xdr:cNvPicPr>
          <a:picLocks noChangeAspect="1"/>
        </xdr:cNvPicPr>
      </xdr:nvPicPr>
      <xdr:blipFill>
        <a:blip xmlns:r="http://schemas.openxmlformats.org/officeDocument/2006/relationships" r:embed="rId1"/>
        <a:stretch>
          <a:fillRect/>
        </a:stretch>
      </xdr:blipFill>
      <xdr:spPr>
        <a:xfrm>
          <a:off x="8069580" y="1097280"/>
          <a:ext cx="1371719" cy="414564"/>
        </a:xfrm>
        <a:prstGeom prst="rect">
          <a:avLst/>
        </a:prstGeom>
      </xdr:spPr>
    </xdr:pic>
    <xdr:clientData/>
  </xdr:twoCellAnchor>
  <xdr:oneCellAnchor>
    <xdr:from>
      <xdr:col>13</xdr:col>
      <xdr:colOff>0</xdr:colOff>
      <xdr:row>9</xdr:row>
      <xdr:rowOff>0</xdr:rowOff>
    </xdr:from>
    <xdr:ext cx="1370760" cy="407670"/>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AC942B9F-3F53-4F30-8890-9CA2B42DC854}"/>
                </a:ext>
              </a:extLst>
            </xdr:cNvPr>
            <xdr:cNvSpPr txBox="1"/>
          </xdr:nvSpPr>
          <xdr:spPr>
            <a:xfrm>
              <a:off x="8069580" y="164592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dr:sp macro="" textlink="">
          <xdr:nvSpPr>
            <xdr:cNvPr id="9" name="TextBox 8">
              <a:extLst>
                <a:ext uri="{FF2B5EF4-FFF2-40B4-BE49-F238E27FC236}">
                  <a16:creationId xmlns:a16="http://schemas.microsoft.com/office/drawing/2014/main" id="{AC942B9F-3F53-4F30-8890-9CA2B42DC854}"/>
                </a:ext>
              </a:extLst>
            </xdr:cNvPr>
            <xdr:cNvSpPr txBox="1"/>
          </xdr:nvSpPr>
          <xdr:spPr>
            <a:xfrm>
              <a:off x="8069580" y="164592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i="0">
                  <a:latin typeface="Cambria Math" panose="02040503050406030204" pitchFamily="18" charset="0"/>
                </a:rPr>
                <a:t>〖</a:t>
              </a:r>
              <a:r>
                <a:rPr lang="en-ZA" sz="1100" b="0" i="0">
                  <a:latin typeface="Cambria Math" panose="02040503050406030204" pitchFamily="18" charset="0"/>
                </a:rPr>
                <a:t>𝑆𝑆〗_𝑡𝑜𝑡= </a:t>
              </a:r>
              <a:r>
                <a:rPr lang="en-ZA" sz="1100" b="0" i="0">
                  <a:solidFill>
                    <a:schemeClr val="tx1"/>
                  </a:solidFill>
                  <a:effectLst/>
                  <a:latin typeface="Cambria Math" panose="02040503050406030204" pitchFamily="18" charset="0"/>
                  <a:ea typeface="+mn-ea"/>
                  <a:cs typeface="+mn-cs"/>
                </a:rPr>
                <a:t>∑▒(𝑦_𝑖−𝑦 ̅ )^2 </a:t>
              </a:r>
              <a:endParaRPr lang="en-ZA"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13</xdr:col>
      <xdr:colOff>15240</xdr:colOff>
      <xdr:row>2</xdr:row>
      <xdr:rowOff>121920</xdr:rowOff>
    </xdr:from>
    <xdr:ext cx="1363980" cy="487680"/>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CB228D43-3A1F-4EEB-A23E-0F40D44DA981}"/>
                </a:ext>
              </a:extLst>
            </xdr:cNvPr>
            <xdr:cNvSpPr txBox="1"/>
          </xdr:nvSpPr>
          <xdr:spPr>
            <a:xfrm>
              <a:off x="8229600" y="487680"/>
              <a:ext cx="1363980" cy="48768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ZA" sz="1100" i="1">
                            <a:latin typeface="Cambria Math" panose="02040503050406030204" pitchFamily="18" charset="0"/>
                          </a:rPr>
                        </m:ctrlPr>
                      </m:sSupPr>
                      <m:e>
                        <m:r>
                          <a:rPr lang="en-ZA" sz="1100" b="0" i="1">
                            <a:latin typeface="Cambria Math" panose="02040503050406030204" pitchFamily="18" charset="0"/>
                          </a:rPr>
                          <m:t>𝑅</m:t>
                        </m:r>
                      </m:e>
                      <m:sup>
                        <m:r>
                          <a:rPr lang="en-ZA" sz="1100" b="0" i="1">
                            <a:latin typeface="Cambria Math" panose="02040503050406030204" pitchFamily="18" charset="0"/>
                          </a:rPr>
                          <m:t>2</m:t>
                        </m:r>
                      </m:sup>
                    </m:sSup>
                    <m:r>
                      <a:rPr lang="en-ZA" sz="1100" b="0" i="1">
                        <a:latin typeface="Cambria Math" panose="02040503050406030204" pitchFamily="18" charset="0"/>
                      </a:rPr>
                      <m:t>=1−</m:t>
                    </m:r>
                    <m:f>
                      <m:fPr>
                        <m:ctrlPr>
                          <a:rPr lang="en-ZA" sz="1100" b="0" i="1">
                            <a:latin typeface="Cambria Math" panose="02040503050406030204" pitchFamily="18" charset="0"/>
                          </a:rPr>
                        </m:ctrlPr>
                      </m:fPr>
                      <m:num>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num>
                      <m:den>
                        <m:sSub>
                          <m:sSubPr>
                            <m:ctrlPr>
                              <a:rPr lang="en-ZA" sz="1100" b="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den>
                    </m:f>
                  </m:oMath>
                </m:oMathPara>
              </a14:m>
              <a:endParaRPr lang="en-ZA" sz="1100"/>
            </a:p>
          </xdr:txBody>
        </xdr:sp>
      </mc:Choice>
      <mc:Fallback>
        <xdr:sp macro="" textlink="">
          <xdr:nvSpPr>
            <xdr:cNvPr id="3" name="TextBox 2">
              <a:extLst>
                <a:ext uri="{FF2B5EF4-FFF2-40B4-BE49-F238E27FC236}">
                  <a16:creationId xmlns:a16="http://schemas.microsoft.com/office/drawing/2014/main" id="{CB228D43-3A1F-4EEB-A23E-0F40D44DA981}"/>
                </a:ext>
              </a:extLst>
            </xdr:cNvPr>
            <xdr:cNvSpPr txBox="1"/>
          </xdr:nvSpPr>
          <xdr:spPr>
            <a:xfrm>
              <a:off x="8229600" y="487680"/>
              <a:ext cx="1363980" cy="48768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b="0" i="0">
                  <a:latin typeface="Cambria Math" panose="02040503050406030204" pitchFamily="18" charset="0"/>
                </a:rPr>
                <a:t>𝑅^2=1−〖𝑆𝑆〗_𝑟𝑒𝑠/〖𝑆𝑆〗_𝑡𝑜𝑡 </a:t>
              </a:r>
              <a:endParaRPr lang="en-ZA" sz="1100"/>
            </a:p>
          </xdr:txBody>
        </xdr:sp>
      </mc:Fallback>
    </mc:AlternateContent>
    <xdr:clientData/>
  </xdr:oneCellAnchor>
  <xdr:oneCellAnchor>
    <xdr:from>
      <xdr:col>13</xdr:col>
      <xdr:colOff>15240</xdr:colOff>
      <xdr:row>5</xdr:row>
      <xdr:rowOff>171450</xdr:rowOff>
    </xdr:from>
    <xdr:ext cx="1370760" cy="407670"/>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FD647838-9F3E-4C7A-AF21-B1BFEA1E7DFC}"/>
                </a:ext>
              </a:extLst>
            </xdr:cNvPr>
            <xdr:cNvSpPr txBox="1"/>
          </xdr:nvSpPr>
          <xdr:spPr>
            <a:xfrm>
              <a:off x="8229600" y="108585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𝑟𝑒𝑠</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sSub>
                                  <m:sSubPr>
                                    <m:ctrlPr>
                                      <a:rPr lang="en-ZA" sz="1100" b="0" i="1">
                                        <a:solidFill>
                                          <a:schemeClr val="tx1"/>
                                        </a:solidFill>
                                        <a:effectLst/>
                                        <a:latin typeface="Cambria Math" panose="02040503050406030204" pitchFamily="18" charset="0"/>
                                        <a:ea typeface="+mn-ea"/>
                                        <a:cs typeface="+mn-cs"/>
                                      </a:rPr>
                                    </m:ctrlPr>
                                  </m:sSubPr>
                                  <m:e>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sub>
                                    <m:r>
                                      <a:rPr lang="en-ZA" sz="1100" b="0" i="1">
                                        <a:solidFill>
                                          <a:schemeClr val="tx1"/>
                                        </a:solidFill>
                                        <a:effectLst/>
                                        <a:latin typeface="Cambria Math" panose="02040503050406030204" pitchFamily="18" charset="0"/>
                                        <a:ea typeface="+mn-ea"/>
                                        <a:cs typeface="+mn-cs"/>
                                      </a:rPr>
                                      <m:t>𝑖</m:t>
                                    </m:r>
                                  </m:sub>
                                </m:sSub>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dr:sp macro="" textlink="">
          <xdr:nvSpPr>
            <xdr:cNvPr id="4" name="TextBox 3">
              <a:extLst>
                <a:ext uri="{FF2B5EF4-FFF2-40B4-BE49-F238E27FC236}">
                  <a16:creationId xmlns:a16="http://schemas.microsoft.com/office/drawing/2014/main" id="{FD647838-9F3E-4C7A-AF21-B1BFEA1E7DFC}"/>
                </a:ext>
              </a:extLst>
            </xdr:cNvPr>
            <xdr:cNvSpPr txBox="1"/>
          </xdr:nvSpPr>
          <xdr:spPr>
            <a:xfrm>
              <a:off x="8229600" y="108585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i="0">
                  <a:latin typeface="Cambria Math" panose="02040503050406030204" pitchFamily="18" charset="0"/>
                </a:rPr>
                <a:t>〖</a:t>
              </a:r>
              <a:r>
                <a:rPr lang="en-ZA" sz="1100" b="0" i="0">
                  <a:latin typeface="Cambria Math" panose="02040503050406030204" pitchFamily="18" charset="0"/>
                </a:rPr>
                <a:t>𝑆𝑆〗_𝑟𝑒𝑠= </a:t>
              </a:r>
              <a:r>
                <a:rPr lang="en-ZA" sz="1100" b="0" i="0">
                  <a:solidFill>
                    <a:schemeClr val="tx1"/>
                  </a:solidFill>
                  <a:effectLst/>
                  <a:latin typeface="Cambria Math" panose="02040503050406030204" pitchFamily="18" charset="0"/>
                  <a:ea typeface="+mn-ea"/>
                  <a:cs typeface="+mn-cs"/>
                </a:rPr>
                <a:t>∑▒(𝑦_𝑖−𝑦 ̂_𝑖 )^2 </a:t>
              </a:r>
              <a:endParaRPr lang="en-ZA" sz="1100"/>
            </a:p>
          </xdr:txBody>
        </xdr:sp>
      </mc:Fallback>
    </mc:AlternateContent>
    <xdr:clientData/>
  </xdr:oneCellAnchor>
  <xdr:oneCellAnchor>
    <xdr:from>
      <xdr:col>2</xdr:col>
      <xdr:colOff>0</xdr:colOff>
      <xdr:row>5</xdr:row>
      <xdr:rowOff>125730</xdr:rowOff>
    </xdr:from>
    <xdr:ext cx="65" cy="172227"/>
    <xdr:sp macro="" textlink="">
      <xdr:nvSpPr>
        <xdr:cNvPr id="5" name="TextBox 4">
          <a:extLst>
            <a:ext uri="{FF2B5EF4-FFF2-40B4-BE49-F238E27FC236}">
              <a16:creationId xmlns:a16="http://schemas.microsoft.com/office/drawing/2014/main" id="{07E0EA7A-D012-4C81-BD70-4685670AD109}"/>
            </a:ext>
          </a:extLst>
        </xdr:cNvPr>
        <xdr:cNvSpPr txBox="1"/>
      </xdr:nvSpPr>
      <xdr:spPr>
        <a:xfrm>
          <a:off x="9563100" y="10401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ZA" sz="1100"/>
        </a:p>
      </xdr:txBody>
    </xdr:sp>
    <xdr:clientData/>
  </xdr:oneCellAnchor>
  <xdr:oneCellAnchor>
    <xdr:from>
      <xdr:col>9</xdr:col>
      <xdr:colOff>7620</xdr:colOff>
      <xdr:row>3</xdr:row>
      <xdr:rowOff>11430</xdr:rowOff>
    </xdr:from>
    <xdr:ext cx="2185598" cy="172227"/>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08459F22-6295-4530-AD32-9B020749BF50}"/>
                </a:ext>
              </a:extLst>
            </xdr:cNvPr>
            <xdr:cNvSpPr txBox="1"/>
          </xdr:nvSpPr>
          <xdr:spPr>
            <a:xfrm>
              <a:off x="5494020" y="560070"/>
              <a:ext cx="2185598"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ZA" sz="1100" b="0" i="1">
                        <a:latin typeface="Cambria Math" panose="02040503050406030204" pitchFamily="18" charset="0"/>
                      </a:rPr>
                      <m:t>𝐹𝐻𝑂</m:t>
                    </m:r>
                    <m:r>
                      <a:rPr lang="en-ZA" sz="1100" b="0" i="1">
                        <a:latin typeface="Cambria Math" panose="02040503050406030204" pitchFamily="18" charset="0"/>
                      </a:rPr>
                      <m:t>=804,3486+0,000254 </m:t>
                    </m:r>
                    <m:r>
                      <a:rPr lang="en-ZA" sz="1100" b="0" i="1">
                        <a:latin typeface="Cambria Math" panose="02040503050406030204" pitchFamily="18" charset="0"/>
                      </a:rPr>
                      <m:t>𝑀𝑎𝑠𝑠</m:t>
                    </m:r>
                  </m:oMath>
                </m:oMathPara>
              </a14:m>
              <a:endParaRPr lang="en-ZA" sz="1100" b="0"/>
            </a:p>
          </xdr:txBody>
        </xdr:sp>
      </mc:Choice>
      <mc:Fallback>
        <xdr:sp macro="" textlink="">
          <xdr:nvSpPr>
            <xdr:cNvPr id="6" name="TextBox 5">
              <a:extLst>
                <a:ext uri="{FF2B5EF4-FFF2-40B4-BE49-F238E27FC236}">
                  <a16:creationId xmlns:a16="http://schemas.microsoft.com/office/drawing/2014/main" id="{08459F22-6295-4530-AD32-9B020749BF50}"/>
                </a:ext>
              </a:extLst>
            </xdr:cNvPr>
            <xdr:cNvSpPr txBox="1"/>
          </xdr:nvSpPr>
          <xdr:spPr>
            <a:xfrm>
              <a:off x="5494020" y="560070"/>
              <a:ext cx="2185598" cy="172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ZA" sz="1100" b="0" i="0">
                  <a:latin typeface="Cambria Math" panose="02040503050406030204" pitchFamily="18" charset="0"/>
                </a:rPr>
                <a:t>𝐹𝐻𝑂=804,3486+0,000254 𝑀𝑎𝑠𝑠</a:t>
              </a:r>
              <a:endParaRPr lang="en-ZA" sz="1100" b="0"/>
            </a:p>
          </xdr:txBody>
        </xdr:sp>
      </mc:Fallback>
    </mc:AlternateContent>
    <xdr:clientData/>
  </xdr:oneCellAnchor>
  <xdr:oneCellAnchor>
    <xdr:from>
      <xdr:col>13</xdr:col>
      <xdr:colOff>30480</xdr:colOff>
      <xdr:row>8</xdr:row>
      <xdr:rowOff>175260</xdr:rowOff>
    </xdr:from>
    <xdr:ext cx="1370760" cy="407670"/>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A1898084-097D-41CE-8B2B-1DBE6A128815}"/>
                </a:ext>
              </a:extLst>
            </xdr:cNvPr>
            <xdr:cNvSpPr txBox="1"/>
          </xdr:nvSpPr>
          <xdr:spPr>
            <a:xfrm>
              <a:off x="8244840" y="163830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ZA" sz="1100" i="1">
                            <a:latin typeface="Cambria Math" panose="02040503050406030204" pitchFamily="18" charset="0"/>
                          </a:rPr>
                        </m:ctrlPr>
                      </m:sSubPr>
                      <m:e>
                        <m:r>
                          <a:rPr lang="en-ZA" sz="1100" b="0" i="1">
                            <a:latin typeface="Cambria Math" panose="02040503050406030204" pitchFamily="18" charset="0"/>
                          </a:rPr>
                          <m:t>𝑆𝑆</m:t>
                        </m:r>
                      </m:e>
                      <m:sub>
                        <m:r>
                          <a:rPr lang="en-ZA" sz="1100" b="0" i="1">
                            <a:latin typeface="Cambria Math" panose="02040503050406030204" pitchFamily="18" charset="0"/>
                          </a:rPr>
                          <m:t>𝑡𝑜𝑡</m:t>
                        </m:r>
                      </m:sub>
                    </m:sSub>
                    <m:r>
                      <a:rPr lang="en-ZA" sz="1100" b="0" i="1">
                        <a:latin typeface="Cambria Math" panose="02040503050406030204" pitchFamily="18" charset="0"/>
                      </a:rPr>
                      <m:t>= </m:t>
                    </m:r>
                    <m:nary>
                      <m:naryPr>
                        <m:chr m:val="∑"/>
                        <m:subHide m:val="on"/>
                        <m:supHide m:val="on"/>
                        <m:ctrlPr>
                          <a:rPr lang="en-ZA" sz="1100" b="0" i="1">
                            <a:solidFill>
                              <a:schemeClr val="tx1"/>
                            </a:solidFill>
                            <a:effectLst/>
                            <a:latin typeface="Cambria Math" panose="02040503050406030204" pitchFamily="18" charset="0"/>
                            <a:ea typeface="+mn-ea"/>
                            <a:cs typeface="+mn-cs"/>
                          </a:rPr>
                        </m:ctrlPr>
                      </m:naryPr>
                      <m:sub/>
                      <m:sup/>
                      <m:e>
                        <m:sSup>
                          <m:sSupPr>
                            <m:ctrlPr>
                              <a:rPr lang="en-ZA" sz="1100" b="0" i="1">
                                <a:solidFill>
                                  <a:schemeClr val="tx1"/>
                                </a:solidFill>
                                <a:effectLst/>
                                <a:latin typeface="Cambria Math" panose="02040503050406030204" pitchFamily="18" charset="0"/>
                                <a:ea typeface="+mn-ea"/>
                                <a:cs typeface="+mn-cs"/>
                              </a:rPr>
                            </m:ctrlPr>
                          </m:sSupPr>
                          <m:e>
                            <m:d>
                              <m:dPr>
                                <m:ctrlPr>
                                  <a:rPr lang="en-ZA" sz="1100" b="0" i="1">
                                    <a:solidFill>
                                      <a:schemeClr val="tx1"/>
                                    </a:solidFill>
                                    <a:effectLst/>
                                    <a:latin typeface="Cambria Math" panose="02040503050406030204" pitchFamily="18" charset="0"/>
                                    <a:ea typeface="+mn-ea"/>
                                    <a:cs typeface="+mn-cs"/>
                                  </a:rPr>
                                </m:ctrlPr>
                              </m:dPr>
                              <m:e>
                                <m:sSub>
                                  <m:sSubPr>
                                    <m:ctrlPr>
                                      <a:rPr lang="en-ZA" sz="1100" b="0" i="1">
                                        <a:solidFill>
                                          <a:schemeClr val="tx1"/>
                                        </a:solidFill>
                                        <a:effectLst/>
                                        <a:latin typeface="Cambria Math" panose="02040503050406030204" pitchFamily="18" charset="0"/>
                                        <a:ea typeface="+mn-ea"/>
                                        <a:cs typeface="+mn-cs"/>
                                      </a:rPr>
                                    </m:ctrlPr>
                                  </m:sSubPr>
                                  <m:e>
                                    <m:r>
                                      <a:rPr lang="en-ZA" sz="1100" b="0" i="1">
                                        <a:solidFill>
                                          <a:schemeClr val="tx1"/>
                                        </a:solidFill>
                                        <a:effectLst/>
                                        <a:latin typeface="Cambria Math" panose="02040503050406030204" pitchFamily="18" charset="0"/>
                                        <a:ea typeface="+mn-ea"/>
                                        <a:cs typeface="+mn-cs"/>
                                      </a:rPr>
                                      <m:t>𝑦</m:t>
                                    </m:r>
                                  </m:e>
                                  <m:sub>
                                    <m:r>
                                      <a:rPr lang="en-ZA" sz="1100" b="0" i="1">
                                        <a:solidFill>
                                          <a:schemeClr val="tx1"/>
                                        </a:solidFill>
                                        <a:effectLst/>
                                        <a:latin typeface="Cambria Math" panose="02040503050406030204" pitchFamily="18" charset="0"/>
                                        <a:ea typeface="+mn-ea"/>
                                        <a:cs typeface="+mn-cs"/>
                                      </a:rPr>
                                      <m:t>𝑖</m:t>
                                    </m:r>
                                  </m:sub>
                                </m:sSub>
                                <m:r>
                                  <a:rPr lang="en-ZA" sz="1100" b="0" i="1">
                                    <a:solidFill>
                                      <a:schemeClr val="tx1"/>
                                    </a:solidFill>
                                    <a:effectLst/>
                                    <a:latin typeface="Cambria Math" panose="02040503050406030204" pitchFamily="18" charset="0"/>
                                    <a:ea typeface="+mn-ea"/>
                                    <a:cs typeface="+mn-cs"/>
                                  </a:rPr>
                                  <m:t>−</m:t>
                                </m:r>
                                <m:acc>
                                  <m:accPr>
                                    <m:chr m:val="̅"/>
                                    <m:ctrlPr>
                                      <a:rPr lang="en-ZA" sz="1100" b="0" i="1">
                                        <a:solidFill>
                                          <a:schemeClr val="tx1"/>
                                        </a:solidFill>
                                        <a:effectLst/>
                                        <a:latin typeface="Cambria Math" panose="02040503050406030204" pitchFamily="18" charset="0"/>
                                        <a:ea typeface="+mn-ea"/>
                                        <a:cs typeface="+mn-cs"/>
                                      </a:rPr>
                                    </m:ctrlPr>
                                  </m:accPr>
                                  <m:e>
                                    <m:r>
                                      <a:rPr lang="en-ZA" sz="1100" b="0" i="1">
                                        <a:solidFill>
                                          <a:schemeClr val="tx1"/>
                                        </a:solidFill>
                                        <a:effectLst/>
                                        <a:latin typeface="Cambria Math" panose="02040503050406030204" pitchFamily="18" charset="0"/>
                                        <a:ea typeface="+mn-ea"/>
                                        <a:cs typeface="+mn-cs"/>
                                      </a:rPr>
                                      <m:t>𝑦</m:t>
                                    </m:r>
                                  </m:e>
                                </m:acc>
                              </m:e>
                            </m:d>
                          </m:e>
                          <m:sup>
                            <m:r>
                              <a:rPr lang="en-ZA" sz="1100" b="0" i="1">
                                <a:solidFill>
                                  <a:schemeClr val="tx1"/>
                                </a:solidFill>
                                <a:effectLst/>
                                <a:latin typeface="Cambria Math" panose="02040503050406030204" pitchFamily="18" charset="0"/>
                                <a:ea typeface="+mn-ea"/>
                                <a:cs typeface="+mn-cs"/>
                              </a:rPr>
                              <m:t>2</m:t>
                            </m:r>
                          </m:sup>
                        </m:sSup>
                      </m:e>
                    </m:nary>
                  </m:oMath>
                </m:oMathPara>
              </a14:m>
              <a:endParaRPr lang="en-ZA" sz="1100"/>
            </a:p>
          </xdr:txBody>
        </xdr:sp>
      </mc:Choice>
      <mc:Fallback>
        <xdr:sp macro="" textlink="">
          <xdr:nvSpPr>
            <xdr:cNvPr id="8" name="TextBox 7">
              <a:extLst>
                <a:ext uri="{FF2B5EF4-FFF2-40B4-BE49-F238E27FC236}">
                  <a16:creationId xmlns:a16="http://schemas.microsoft.com/office/drawing/2014/main" id="{A1898084-097D-41CE-8B2B-1DBE6A128815}"/>
                </a:ext>
              </a:extLst>
            </xdr:cNvPr>
            <xdr:cNvSpPr txBox="1"/>
          </xdr:nvSpPr>
          <xdr:spPr>
            <a:xfrm>
              <a:off x="8244840" y="1638300"/>
              <a:ext cx="1370760" cy="40767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ZA" sz="1100" i="0">
                  <a:latin typeface="Cambria Math" panose="02040503050406030204" pitchFamily="18" charset="0"/>
                </a:rPr>
                <a:t>〖</a:t>
              </a:r>
              <a:r>
                <a:rPr lang="en-ZA" sz="1100" b="0" i="0">
                  <a:latin typeface="Cambria Math" panose="02040503050406030204" pitchFamily="18" charset="0"/>
                </a:rPr>
                <a:t>𝑆𝑆〗_𝑡𝑜𝑡= </a:t>
              </a:r>
              <a:r>
                <a:rPr lang="en-ZA" sz="1100" b="0" i="0">
                  <a:solidFill>
                    <a:schemeClr val="tx1"/>
                  </a:solidFill>
                  <a:effectLst/>
                  <a:latin typeface="Cambria Math" panose="02040503050406030204" pitchFamily="18" charset="0"/>
                  <a:ea typeface="+mn-ea"/>
                  <a:cs typeface="+mn-cs"/>
                </a:rPr>
                <a:t>∑▒(𝑦_𝑖−𝑦 ̅ )^2 </a:t>
              </a:r>
              <a:endParaRPr lang="en-ZA"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0"/>
  <sheetViews>
    <sheetView workbookViewId="0">
      <selection activeCell="D1" sqref="D1:D1048576"/>
    </sheetView>
  </sheetViews>
  <sheetFormatPr defaultRowHeight="14.4" x14ac:dyDescent="0.3"/>
  <sheetData>
    <row r="1" spans="1:7" x14ac:dyDescent="0.3">
      <c r="A1" t="s">
        <v>0</v>
      </c>
      <c r="B1" t="s">
        <v>1</v>
      </c>
      <c r="C1" t="s">
        <v>2</v>
      </c>
      <c r="D1" t="s">
        <v>3</v>
      </c>
      <c r="E1" t="s">
        <v>4</v>
      </c>
      <c r="F1" t="s">
        <v>5</v>
      </c>
      <c r="G1" t="s">
        <v>6</v>
      </c>
    </row>
    <row r="2" spans="1:7" x14ac:dyDescent="0.3">
      <c r="A2" t="s">
        <v>7</v>
      </c>
      <c r="B2">
        <v>237</v>
      </c>
      <c r="C2">
        <v>70142</v>
      </c>
      <c r="D2">
        <v>15.4</v>
      </c>
      <c r="E2">
        <v>4.51</v>
      </c>
      <c r="F2">
        <v>9240</v>
      </c>
      <c r="G2">
        <v>1060</v>
      </c>
    </row>
    <row r="3" spans="1:7" x14ac:dyDescent="0.3">
      <c r="A3" t="s">
        <v>7</v>
      </c>
      <c r="B3">
        <v>63</v>
      </c>
      <c r="C3">
        <v>9733</v>
      </c>
      <c r="D3">
        <v>7.9</v>
      </c>
      <c r="E3">
        <v>2.48</v>
      </c>
      <c r="F3">
        <v>4740</v>
      </c>
      <c r="G3">
        <v>691</v>
      </c>
    </row>
    <row r="4" spans="1:7" x14ac:dyDescent="0.3">
      <c r="A4" t="s">
        <v>7</v>
      </c>
      <c r="B4">
        <v>43</v>
      </c>
      <c r="C4">
        <v>5195</v>
      </c>
      <c r="D4">
        <v>6.6</v>
      </c>
      <c r="E4">
        <v>4.6100000000000003</v>
      </c>
      <c r="F4">
        <v>3960</v>
      </c>
      <c r="G4">
        <v>589</v>
      </c>
    </row>
    <row r="5" spans="1:7" x14ac:dyDescent="0.3">
      <c r="A5" t="s">
        <v>8</v>
      </c>
      <c r="B5">
        <v>448</v>
      </c>
      <c r="C5">
        <v>211409</v>
      </c>
      <c r="D5">
        <v>21.1</v>
      </c>
      <c r="E5">
        <v>2.82</v>
      </c>
      <c r="F5">
        <v>25320</v>
      </c>
      <c r="G5">
        <v>692</v>
      </c>
    </row>
    <row r="6" spans="1:7" x14ac:dyDescent="0.3">
      <c r="A6" t="s">
        <v>8</v>
      </c>
      <c r="B6">
        <v>64</v>
      </c>
      <c r="C6">
        <v>9168</v>
      </c>
      <c r="D6">
        <v>8</v>
      </c>
      <c r="E6">
        <v>1.43</v>
      </c>
      <c r="F6">
        <v>9600</v>
      </c>
      <c r="G6">
        <v>741</v>
      </c>
    </row>
    <row r="7" spans="1:7" x14ac:dyDescent="0.3">
      <c r="A7" t="s">
        <v>7</v>
      </c>
      <c r="B7">
        <v>83</v>
      </c>
      <c r="C7">
        <v>16100</v>
      </c>
      <c r="D7">
        <v>9.1</v>
      </c>
      <c r="E7">
        <v>2.61</v>
      </c>
      <c r="F7">
        <v>5460</v>
      </c>
      <c r="G7">
        <v>684</v>
      </c>
    </row>
    <row r="8" spans="1:7" x14ac:dyDescent="0.3">
      <c r="A8" t="s">
        <v>7</v>
      </c>
      <c r="B8">
        <v>169</v>
      </c>
      <c r="C8">
        <v>33723</v>
      </c>
      <c r="D8">
        <v>13</v>
      </c>
      <c r="E8">
        <v>1.1499999999999999</v>
      </c>
      <c r="F8">
        <v>7800</v>
      </c>
      <c r="G8">
        <v>1046</v>
      </c>
    </row>
    <row r="9" spans="1:7" x14ac:dyDescent="0.3">
      <c r="A9" t="s">
        <v>7</v>
      </c>
      <c r="B9">
        <v>644</v>
      </c>
      <c r="C9">
        <v>282138</v>
      </c>
      <c r="D9">
        <v>25.3</v>
      </c>
      <c r="E9">
        <v>4.62</v>
      </c>
      <c r="F9">
        <v>15180</v>
      </c>
      <c r="G9">
        <v>624</v>
      </c>
    </row>
    <row r="10" spans="1:7" x14ac:dyDescent="0.3">
      <c r="A10" t="s">
        <v>8</v>
      </c>
      <c r="B10">
        <v>306</v>
      </c>
      <c r="C10">
        <v>117675</v>
      </c>
      <c r="D10">
        <v>17.5</v>
      </c>
      <c r="E10">
        <v>2.35</v>
      </c>
      <c r="F10">
        <v>21000</v>
      </c>
      <c r="G10">
        <v>812</v>
      </c>
    </row>
    <row r="11" spans="1:7" x14ac:dyDescent="0.3">
      <c r="A11" t="s">
        <v>7</v>
      </c>
      <c r="B11">
        <v>48</v>
      </c>
      <c r="C11">
        <v>8271</v>
      </c>
      <c r="D11">
        <v>6.9</v>
      </c>
      <c r="E11">
        <v>3.48</v>
      </c>
      <c r="F11">
        <v>4140</v>
      </c>
      <c r="G11">
        <v>816</v>
      </c>
    </row>
    <row r="12" spans="1:7" x14ac:dyDescent="0.3">
      <c r="A12" t="s">
        <v>7</v>
      </c>
      <c r="B12">
        <v>1006</v>
      </c>
      <c r="C12">
        <v>1072707</v>
      </c>
      <c r="D12">
        <v>31.6</v>
      </c>
      <c r="E12">
        <v>3.16</v>
      </c>
      <c r="F12">
        <v>18960</v>
      </c>
      <c r="G12">
        <v>1460</v>
      </c>
    </row>
    <row r="13" spans="1:7" x14ac:dyDescent="0.3">
      <c r="A13" t="s">
        <v>7</v>
      </c>
      <c r="B13">
        <v>230</v>
      </c>
      <c r="C13">
        <v>63440</v>
      </c>
      <c r="D13">
        <v>15.2</v>
      </c>
      <c r="E13">
        <v>3.61</v>
      </c>
      <c r="F13">
        <v>9120</v>
      </c>
      <c r="G13">
        <v>772</v>
      </c>
    </row>
    <row r="14" spans="1:7" x14ac:dyDescent="0.3">
      <c r="A14" t="s">
        <v>9</v>
      </c>
      <c r="B14">
        <v>943</v>
      </c>
      <c r="C14">
        <v>696962</v>
      </c>
      <c r="D14">
        <v>30.7</v>
      </c>
      <c r="E14">
        <v>1.48</v>
      </c>
      <c r="F14">
        <v>67540</v>
      </c>
      <c r="G14">
        <v>1541</v>
      </c>
    </row>
    <row r="15" spans="1:7" x14ac:dyDescent="0.3">
      <c r="A15" t="s">
        <v>7</v>
      </c>
      <c r="B15">
        <v>202</v>
      </c>
      <c r="C15">
        <v>99115</v>
      </c>
      <c r="D15">
        <v>14.2</v>
      </c>
      <c r="E15">
        <v>2.95</v>
      </c>
      <c r="F15">
        <v>8520</v>
      </c>
      <c r="G15">
        <v>493</v>
      </c>
    </row>
    <row r="16" spans="1:7" x14ac:dyDescent="0.3">
      <c r="A16" t="s">
        <v>8</v>
      </c>
      <c r="B16">
        <v>56</v>
      </c>
      <c r="C16">
        <v>7058</v>
      </c>
      <c r="D16">
        <v>7.5</v>
      </c>
      <c r="E16">
        <v>3.33</v>
      </c>
      <c r="F16">
        <v>9000</v>
      </c>
      <c r="G16">
        <v>644</v>
      </c>
    </row>
    <row r="17" spans="1:7" x14ac:dyDescent="0.3">
      <c r="A17" t="s">
        <v>9</v>
      </c>
      <c r="B17">
        <v>2587</v>
      </c>
      <c r="C17">
        <v>2592325</v>
      </c>
      <c r="D17">
        <v>50.8</v>
      </c>
      <c r="E17">
        <v>2.5</v>
      </c>
      <c r="F17">
        <v>111760</v>
      </c>
      <c r="G17">
        <v>1738</v>
      </c>
    </row>
    <row r="18" spans="1:7" x14ac:dyDescent="0.3">
      <c r="A18" t="s">
        <v>8</v>
      </c>
      <c r="B18">
        <v>266</v>
      </c>
      <c r="C18">
        <v>64414</v>
      </c>
      <c r="D18">
        <v>16.3</v>
      </c>
      <c r="E18">
        <v>3.93</v>
      </c>
      <c r="F18">
        <v>19560</v>
      </c>
      <c r="G18">
        <v>618</v>
      </c>
    </row>
    <row r="19" spans="1:7" x14ac:dyDescent="0.3">
      <c r="A19" t="s">
        <v>8</v>
      </c>
      <c r="B19">
        <v>620</v>
      </c>
      <c r="C19">
        <v>280574</v>
      </c>
      <c r="D19">
        <v>24.9</v>
      </c>
      <c r="E19">
        <v>3.07</v>
      </c>
      <c r="F19">
        <v>29880</v>
      </c>
      <c r="G19">
        <v>1415</v>
      </c>
    </row>
    <row r="20" spans="1:7" x14ac:dyDescent="0.3">
      <c r="A20" t="s">
        <v>8</v>
      </c>
      <c r="B20">
        <v>118</v>
      </c>
      <c r="C20">
        <v>23713</v>
      </c>
      <c r="D20">
        <v>10.9</v>
      </c>
      <c r="E20">
        <v>4.45</v>
      </c>
      <c r="F20">
        <v>13080</v>
      </c>
      <c r="G20">
        <v>753</v>
      </c>
    </row>
    <row r="21" spans="1:7" x14ac:dyDescent="0.3">
      <c r="A21" t="s">
        <v>9</v>
      </c>
      <c r="B21">
        <v>1057</v>
      </c>
      <c r="C21">
        <v>841954</v>
      </c>
      <c r="D21">
        <v>32.5</v>
      </c>
      <c r="E21">
        <v>3.82</v>
      </c>
      <c r="F21">
        <v>71500</v>
      </c>
      <c r="G21">
        <v>1212</v>
      </c>
    </row>
    <row r="22" spans="1:7" x14ac:dyDescent="0.3">
      <c r="A22" t="s">
        <v>9</v>
      </c>
      <c r="B22">
        <v>480</v>
      </c>
      <c r="C22">
        <v>218775</v>
      </c>
      <c r="D22">
        <v>21.9</v>
      </c>
      <c r="E22">
        <v>2.2799999999999998</v>
      </c>
      <c r="F22">
        <v>48180</v>
      </c>
      <c r="G22">
        <v>578</v>
      </c>
    </row>
    <row r="23" spans="1:7" x14ac:dyDescent="0.3">
      <c r="A23" t="s">
        <v>7</v>
      </c>
      <c r="B23">
        <v>85</v>
      </c>
      <c r="C23">
        <v>15703</v>
      </c>
      <c r="D23">
        <v>9.1999999999999993</v>
      </c>
      <c r="E23">
        <v>2.89</v>
      </c>
      <c r="F23">
        <v>5520</v>
      </c>
      <c r="G23">
        <v>777</v>
      </c>
    </row>
    <row r="24" spans="1:7" x14ac:dyDescent="0.3">
      <c r="A24" t="s">
        <v>9</v>
      </c>
      <c r="B24">
        <v>3014</v>
      </c>
      <c r="C24">
        <v>3376797</v>
      </c>
      <c r="D24">
        <v>54.9</v>
      </c>
      <c r="E24">
        <v>3.38</v>
      </c>
      <c r="F24">
        <v>120780</v>
      </c>
      <c r="G24">
        <v>1732</v>
      </c>
    </row>
    <row r="25" spans="1:7" x14ac:dyDescent="0.3">
      <c r="A25" t="s">
        <v>7</v>
      </c>
      <c r="B25">
        <v>216</v>
      </c>
      <c r="C25">
        <v>83972</v>
      </c>
      <c r="D25">
        <v>14.7</v>
      </c>
      <c r="E25">
        <v>1.23</v>
      </c>
      <c r="F25">
        <v>8820</v>
      </c>
      <c r="G25">
        <v>664</v>
      </c>
    </row>
    <row r="26" spans="1:7" x14ac:dyDescent="0.3">
      <c r="A26" t="s">
        <v>7</v>
      </c>
      <c r="B26">
        <v>262</v>
      </c>
      <c r="C26">
        <v>119112</v>
      </c>
      <c r="D26">
        <v>16.2</v>
      </c>
      <c r="E26">
        <v>4.21</v>
      </c>
      <c r="F26">
        <v>9720</v>
      </c>
      <c r="G26">
        <v>858</v>
      </c>
    </row>
    <row r="27" spans="1:7" x14ac:dyDescent="0.3">
      <c r="A27" t="s">
        <v>9</v>
      </c>
      <c r="B27">
        <v>1152</v>
      </c>
      <c r="C27">
        <v>763740</v>
      </c>
      <c r="D27">
        <v>33.700000000000003</v>
      </c>
      <c r="E27">
        <v>3.82</v>
      </c>
      <c r="F27">
        <v>74140</v>
      </c>
      <c r="G27">
        <v>1092</v>
      </c>
    </row>
    <row r="28" spans="1:7" x14ac:dyDescent="0.3">
      <c r="A28" t="s">
        <v>9</v>
      </c>
      <c r="B28">
        <v>877</v>
      </c>
      <c r="C28">
        <v>422914</v>
      </c>
      <c r="D28">
        <v>29.5</v>
      </c>
      <c r="E28">
        <v>5</v>
      </c>
      <c r="F28">
        <v>64900</v>
      </c>
      <c r="G28">
        <v>749</v>
      </c>
    </row>
    <row r="29" spans="1:7" x14ac:dyDescent="0.3">
      <c r="A29" t="s">
        <v>8</v>
      </c>
      <c r="B29">
        <v>658</v>
      </c>
      <c r="C29">
        <v>361453</v>
      </c>
      <c r="D29">
        <v>25.6</v>
      </c>
      <c r="E29">
        <v>4.66</v>
      </c>
      <c r="F29">
        <v>30720</v>
      </c>
      <c r="G29">
        <v>1136</v>
      </c>
    </row>
    <row r="30" spans="1:7" x14ac:dyDescent="0.3">
      <c r="A30" t="s">
        <v>7</v>
      </c>
      <c r="B30">
        <v>124</v>
      </c>
      <c r="C30">
        <v>27539</v>
      </c>
      <c r="D30">
        <v>11.1</v>
      </c>
      <c r="E30">
        <v>3.61</v>
      </c>
      <c r="F30">
        <v>6660</v>
      </c>
      <c r="G30">
        <v>1097</v>
      </c>
    </row>
    <row r="31" spans="1:7" x14ac:dyDescent="0.3">
      <c r="A31" t="s">
        <v>8</v>
      </c>
      <c r="B31">
        <v>1162</v>
      </c>
      <c r="C31">
        <v>616930</v>
      </c>
      <c r="D31">
        <v>34.1</v>
      </c>
      <c r="E31">
        <v>1.47</v>
      </c>
      <c r="F31">
        <v>40920</v>
      </c>
      <c r="G31">
        <v>926</v>
      </c>
    </row>
    <row r="32" spans="1:7" x14ac:dyDescent="0.3">
      <c r="A32" t="s">
        <v>8</v>
      </c>
      <c r="B32">
        <v>222</v>
      </c>
      <c r="C32">
        <v>73593</v>
      </c>
      <c r="D32">
        <v>14.9</v>
      </c>
      <c r="E32">
        <v>2.85</v>
      </c>
      <c r="F32">
        <v>17880</v>
      </c>
      <c r="G32">
        <v>890</v>
      </c>
    </row>
    <row r="33" spans="1:7" x14ac:dyDescent="0.3">
      <c r="A33" t="s">
        <v>7</v>
      </c>
      <c r="B33">
        <v>319</v>
      </c>
      <c r="C33">
        <v>101956</v>
      </c>
      <c r="D33">
        <v>17.899999999999999</v>
      </c>
      <c r="E33">
        <v>3.11</v>
      </c>
      <c r="F33">
        <v>10740</v>
      </c>
      <c r="G33">
        <v>500</v>
      </c>
    </row>
    <row r="34" spans="1:7" x14ac:dyDescent="0.3">
      <c r="A34" t="s">
        <v>7</v>
      </c>
      <c r="B34">
        <v>25</v>
      </c>
      <c r="C34">
        <v>2456</v>
      </c>
      <c r="D34">
        <v>5</v>
      </c>
      <c r="E34">
        <v>2.2599999999999998</v>
      </c>
      <c r="F34">
        <v>3000</v>
      </c>
      <c r="G34">
        <v>908</v>
      </c>
    </row>
    <row r="35" spans="1:7" x14ac:dyDescent="0.3">
      <c r="A35" t="s">
        <v>9</v>
      </c>
      <c r="B35">
        <v>178</v>
      </c>
      <c r="C35">
        <v>40923</v>
      </c>
      <c r="D35">
        <v>13.3</v>
      </c>
      <c r="E35">
        <v>4.1399999999999997</v>
      </c>
      <c r="F35">
        <v>29260</v>
      </c>
      <c r="G35">
        <v>636</v>
      </c>
    </row>
    <row r="36" spans="1:7" x14ac:dyDescent="0.3">
      <c r="A36" t="s">
        <v>7</v>
      </c>
      <c r="B36">
        <v>136</v>
      </c>
      <c r="C36">
        <v>28888</v>
      </c>
      <c r="D36">
        <v>11.6</v>
      </c>
      <c r="E36">
        <v>2.93</v>
      </c>
      <c r="F36">
        <v>6960</v>
      </c>
      <c r="G36">
        <v>606</v>
      </c>
    </row>
    <row r="37" spans="1:7" x14ac:dyDescent="0.3">
      <c r="A37" t="s">
        <v>8</v>
      </c>
      <c r="B37">
        <v>44</v>
      </c>
      <c r="C37">
        <v>8512</v>
      </c>
      <c r="D37">
        <v>6.6</v>
      </c>
      <c r="E37">
        <v>1.02</v>
      </c>
      <c r="F37">
        <v>7920</v>
      </c>
      <c r="G37">
        <v>919</v>
      </c>
    </row>
    <row r="38" spans="1:7" x14ac:dyDescent="0.3">
      <c r="A38" t="s">
        <v>8</v>
      </c>
      <c r="B38">
        <v>687</v>
      </c>
      <c r="C38">
        <v>377986</v>
      </c>
      <c r="D38">
        <v>26.2</v>
      </c>
      <c r="E38">
        <v>2.79</v>
      </c>
      <c r="F38">
        <v>31440</v>
      </c>
      <c r="G38">
        <v>1240</v>
      </c>
    </row>
    <row r="39" spans="1:7" x14ac:dyDescent="0.3">
      <c r="A39" t="s">
        <v>7</v>
      </c>
      <c r="B39">
        <v>97</v>
      </c>
      <c r="C39">
        <v>28579</v>
      </c>
      <c r="D39">
        <v>9.8000000000000007</v>
      </c>
      <c r="E39">
        <v>1.55</v>
      </c>
      <c r="F39">
        <v>5880</v>
      </c>
      <c r="G39">
        <v>518</v>
      </c>
    </row>
    <row r="40" spans="1:7" x14ac:dyDescent="0.3">
      <c r="A40" t="s">
        <v>7</v>
      </c>
      <c r="B40">
        <v>99</v>
      </c>
      <c r="C40">
        <v>21810</v>
      </c>
      <c r="D40">
        <v>10</v>
      </c>
      <c r="E40">
        <v>4.92</v>
      </c>
      <c r="F40">
        <v>6000</v>
      </c>
      <c r="G40">
        <v>760</v>
      </c>
    </row>
    <row r="41" spans="1:7" x14ac:dyDescent="0.3">
      <c r="A41" t="s">
        <v>8</v>
      </c>
      <c r="B41">
        <v>591</v>
      </c>
      <c r="C41">
        <v>412132</v>
      </c>
      <c r="D41">
        <v>24.2</v>
      </c>
      <c r="E41">
        <v>2.7</v>
      </c>
      <c r="F41">
        <v>29040</v>
      </c>
      <c r="G41">
        <v>1051</v>
      </c>
    </row>
    <row r="42" spans="1:7" x14ac:dyDescent="0.3">
      <c r="A42" t="s">
        <v>9</v>
      </c>
      <c r="B42">
        <v>139</v>
      </c>
      <c r="C42">
        <v>44775</v>
      </c>
      <c r="D42">
        <v>11.8</v>
      </c>
      <c r="E42">
        <v>3.78</v>
      </c>
      <c r="F42">
        <v>25960</v>
      </c>
      <c r="G42">
        <v>881</v>
      </c>
    </row>
    <row r="43" spans="1:7" x14ac:dyDescent="0.3">
      <c r="A43" t="s">
        <v>9</v>
      </c>
      <c r="B43">
        <v>651</v>
      </c>
      <c r="C43">
        <v>361748</v>
      </c>
      <c r="D43">
        <v>25.6</v>
      </c>
      <c r="E43">
        <v>4.78</v>
      </c>
      <c r="F43">
        <v>56320</v>
      </c>
      <c r="G43">
        <v>1307</v>
      </c>
    </row>
    <row r="44" spans="1:7" x14ac:dyDescent="0.3">
      <c r="A44" t="s">
        <v>8</v>
      </c>
      <c r="B44">
        <v>805</v>
      </c>
      <c r="C44">
        <v>544184</v>
      </c>
      <c r="D44">
        <v>28.4</v>
      </c>
      <c r="E44">
        <v>3.53</v>
      </c>
      <c r="F44">
        <v>34080</v>
      </c>
      <c r="G44">
        <v>1005</v>
      </c>
    </row>
    <row r="45" spans="1:7" x14ac:dyDescent="0.3">
      <c r="A45" t="s">
        <v>7</v>
      </c>
      <c r="B45">
        <v>247</v>
      </c>
      <c r="C45">
        <v>69488</v>
      </c>
      <c r="D45">
        <v>15.7</v>
      </c>
      <c r="E45">
        <v>1.1499999999999999</v>
      </c>
      <c r="F45">
        <v>9420</v>
      </c>
      <c r="G45">
        <v>666</v>
      </c>
    </row>
    <row r="46" spans="1:7" x14ac:dyDescent="0.3">
      <c r="A46" t="s">
        <v>7</v>
      </c>
      <c r="B46">
        <v>82</v>
      </c>
      <c r="C46">
        <v>10803</v>
      </c>
      <c r="D46">
        <v>9</v>
      </c>
      <c r="E46">
        <v>2.15</v>
      </c>
      <c r="F46">
        <v>5400</v>
      </c>
      <c r="G46">
        <v>777</v>
      </c>
    </row>
    <row r="47" spans="1:7" x14ac:dyDescent="0.3">
      <c r="A47" t="s">
        <v>7</v>
      </c>
      <c r="B47">
        <v>62</v>
      </c>
      <c r="C47">
        <v>11943</v>
      </c>
      <c r="D47">
        <v>7.9</v>
      </c>
      <c r="E47">
        <v>1.85</v>
      </c>
      <c r="F47">
        <v>4740</v>
      </c>
      <c r="G47">
        <v>533</v>
      </c>
    </row>
    <row r="48" spans="1:7" x14ac:dyDescent="0.3">
      <c r="A48" t="s">
        <v>7</v>
      </c>
      <c r="B48">
        <v>101</v>
      </c>
      <c r="C48">
        <v>26198</v>
      </c>
      <c r="D48">
        <v>10.1</v>
      </c>
      <c r="E48">
        <v>2.54</v>
      </c>
      <c r="F48">
        <v>6060</v>
      </c>
      <c r="G48">
        <v>581</v>
      </c>
    </row>
    <row r="49" spans="1:7" x14ac:dyDescent="0.3">
      <c r="A49" t="s">
        <v>7</v>
      </c>
      <c r="B49">
        <v>353</v>
      </c>
      <c r="C49">
        <v>126450</v>
      </c>
      <c r="D49">
        <v>18.8</v>
      </c>
      <c r="E49">
        <v>1.84</v>
      </c>
      <c r="F49">
        <v>11280</v>
      </c>
      <c r="G49">
        <v>1022</v>
      </c>
    </row>
    <row r="50" spans="1:7" x14ac:dyDescent="0.3">
      <c r="A50" t="s">
        <v>8</v>
      </c>
      <c r="B50">
        <v>854</v>
      </c>
      <c r="C50">
        <v>523245</v>
      </c>
      <c r="D50">
        <v>29.2</v>
      </c>
      <c r="E50">
        <v>2.13</v>
      </c>
      <c r="F50">
        <v>35040</v>
      </c>
      <c r="G50">
        <v>1364</v>
      </c>
    </row>
    <row r="51" spans="1:7" x14ac:dyDescent="0.3">
      <c r="A51" t="s">
        <v>7</v>
      </c>
      <c r="B51">
        <v>371</v>
      </c>
      <c r="C51">
        <v>178737</v>
      </c>
      <c r="D51">
        <v>19.3</v>
      </c>
      <c r="E51">
        <v>2.4900000000000002</v>
      </c>
      <c r="F51">
        <v>11580</v>
      </c>
      <c r="G51">
        <v>934</v>
      </c>
    </row>
    <row r="52" spans="1:7" x14ac:dyDescent="0.3">
      <c r="A52" t="s">
        <v>7</v>
      </c>
      <c r="B52">
        <v>124</v>
      </c>
      <c r="C52">
        <v>32630</v>
      </c>
      <c r="D52">
        <v>11.1</v>
      </c>
      <c r="E52">
        <v>4.55</v>
      </c>
      <c r="F52">
        <v>6660</v>
      </c>
      <c r="G52">
        <v>474</v>
      </c>
    </row>
    <row r="53" spans="1:7" x14ac:dyDescent="0.3">
      <c r="A53" t="s">
        <v>8</v>
      </c>
      <c r="B53">
        <v>195</v>
      </c>
      <c r="C53">
        <v>92812</v>
      </c>
      <c r="D53">
        <v>14</v>
      </c>
      <c r="E53">
        <v>1.38</v>
      </c>
      <c r="F53">
        <v>16800</v>
      </c>
      <c r="G53">
        <v>853</v>
      </c>
    </row>
    <row r="54" spans="1:7" x14ac:dyDescent="0.3">
      <c r="A54" t="s">
        <v>7</v>
      </c>
      <c r="B54">
        <v>169</v>
      </c>
      <c r="C54">
        <v>40146</v>
      </c>
      <c r="D54">
        <v>13</v>
      </c>
      <c r="E54">
        <v>2.65</v>
      </c>
      <c r="F54">
        <v>7800</v>
      </c>
      <c r="G54">
        <v>706</v>
      </c>
    </row>
    <row r="55" spans="1:7" x14ac:dyDescent="0.3">
      <c r="A55" t="s">
        <v>8</v>
      </c>
      <c r="B55">
        <v>385</v>
      </c>
      <c r="C55">
        <v>232943</v>
      </c>
      <c r="D55">
        <v>19.600000000000001</v>
      </c>
      <c r="E55">
        <v>4.79</v>
      </c>
      <c r="F55">
        <v>23520</v>
      </c>
      <c r="G55">
        <v>1464</v>
      </c>
    </row>
    <row r="56" spans="1:7" x14ac:dyDescent="0.3">
      <c r="A56" t="s">
        <v>7</v>
      </c>
      <c r="B56">
        <v>328</v>
      </c>
      <c r="C56">
        <v>134525</v>
      </c>
      <c r="D56">
        <v>18.100000000000001</v>
      </c>
      <c r="E56">
        <v>3.94</v>
      </c>
      <c r="F56">
        <v>10860</v>
      </c>
      <c r="G56">
        <v>869</v>
      </c>
    </row>
    <row r="57" spans="1:7" x14ac:dyDescent="0.3">
      <c r="A57" t="s">
        <v>9</v>
      </c>
      <c r="B57">
        <v>168</v>
      </c>
      <c r="C57">
        <v>51104</v>
      </c>
      <c r="D57">
        <v>13</v>
      </c>
      <c r="E57">
        <v>1.18</v>
      </c>
      <c r="F57">
        <v>28600</v>
      </c>
      <c r="G57">
        <v>1195</v>
      </c>
    </row>
    <row r="58" spans="1:7" x14ac:dyDescent="0.3">
      <c r="A58" t="s">
        <v>8</v>
      </c>
      <c r="B58">
        <v>450</v>
      </c>
      <c r="C58">
        <v>166937</v>
      </c>
      <c r="D58">
        <v>21.3</v>
      </c>
      <c r="E58">
        <v>3.27</v>
      </c>
      <c r="F58">
        <v>25560</v>
      </c>
      <c r="G58">
        <v>776</v>
      </c>
    </row>
    <row r="59" spans="1:7" x14ac:dyDescent="0.3">
      <c r="A59" t="s">
        <v>7</v>
      </c>
      <c r="B59">
        <v>130</v>
      </c>
      <c r="C59">
        <v>26813</v>
      </c>
      <c r="D59">
        <v>11.4</v>
      </c>
      <c r="E59">
        <v>3.99</v>
      </c>
      <c r="F59">
        <v>6840</v>
      </c>
      <c r="G59">
        <v>1003</v>
      </c>
    </row>
    <row r="60" spans="1:7" x14ac:dyDescent="0.3">
      <c r="A60" t="s">
        <v>8</v>
      </c>
      <c r="B60">
        <v>10</v>
      </c>
      <c r="C60">
        <v>547</v>
      </c>
      <c r="D60">
        <v>3.2</v>
      </c>
      <c r="E60">
        <v>3.68</v>
      </c>
      <c r="F60">
        <v>3840</v>
      </c>
      <c r="G60">
        <v>789</v>
      </c>
    </row>
    <row r="61" spans="1:7" x14ac:dyDescent="0.3">
      <c r="A61" t="s">
        <v>9</v>
      </c>
      <c r="B61">
        <v>569</v>
      </c>
      <c r="C61">
        <v>170444</v>
      </c>
      <c r="D61">
        <v>23.9</v>
      </c>
      <c r="E61">
        <v>2.92</v>
      </c>
      <c r="F61">
        <v>52580</v>
      </c>
      <c r="G61">
        <v>835</v>
      </c>
    </row>
    <row r="62" spans="1:7" x14ac:dyDescent="0.3">
      <c r="A62" t="s">
        <v>7</v>
      </c>
      <c r="B62">
        <v>419</v>
      </c>
      <c r="C62">
        <v>141974</v>
      </c>
      <c r="D62">
        <v>20.5</v>
      </c>
      <c r="E62">
        <v>1.1399999999999999</v>
      </c>
      <c r="F62">
        <v>12300</v>
      </c>
      <c r="G62">
        <v>920</v>
      </c>
    </row>
    <row r="63" spans="1:7" x14ac:dyDescent="0.3">
      <c r="A63" t="s">
        <v>9</v>
      </c>
      <c r="B63">
        <v>2</v>
      </c>
      <c r="C63">
        <v>49</v>
      </c>
      <c r="D63">
        <v>1.4</v>
      </c>
      <c r="E63">
        <v>3.69</v>
      </c>
      <c r="F63">
        <v>3080</v>
      </c>
      <c r="G63">
        <v>494</v>
      </c>
    </row>
    <row r="64" spans="1:7" x14ac:dyDescent="0.3">
      <c r="A64" t="s">
        <v>9</v>
      </c>
      <c r="B64">
        <v>4</v>
      </c>
      <c r="C64">
        <v>132</v>
      </c>
      <c r="D64">
        <v>2</v>
      </c>
      <c r="E64">
        <v>2.87</v>
      </c>
      <c r="F64">
        <v>4400</v>
      </c>
      <c r="G64">
        <v>289</v>
      </c>
    </row>
    <row r="65" spans="1:7" x14ac:dyDescent="0.3">
      <c r="A65" t="s">
        <v>8</v>
      </c>
      <c r="B65">
        <v>606</v>
      </c>
      <c r="C65">
        <v>317308</v>
      </c>
      <c r="D65">
        <v>24.6</v>
      </c>
      <c r="E65">
        <v>3.67</v>
      </c>
      <c r="F65">
        <v>29520</v>
      </c>
      <c r="G65">
        <v>1000</v>
      </c>
    </row>
    <row r="66" spans="1:7" x14ac:dyDescent="0.3">
      <c r="A66" t="s">
        <v>7</v>
      </c>
      <c r="B66">
        <v>144</v>
      </c>
      <c r="C66">
        <v>38596</v>
      </c>
      <c r="D66">
        <v>12</v>
      </c>
      <c r="E66">
        <v>2.94</v>
      </c>
      <c r="F66">
        <v>7200</v>
      </c>
      <c r="G66">
        <v>274</v>
      </c>
    </row>
    <row r="67" spans="1:7" x14ac:dyDescent="0.3">
      <c r="A67" t="s">
        <v>8</v>
      </c>
      <c r="B67">
        <v>1085</v>
      </c>
      <c r="C67">
        <v>825218</v>
      </c>
      <c r="D67">
        <v>33</v>
      </c>
      <c r="E67">
        <v>1.8</v>
      </c>
      <c r="F67">
        <v>39600</v>
      </c>
      <c r="G67">
        <v>1430</v>
      </c>
    </row>
    <row r="68" spans="1:7" x14ac:dyDescent="0.3">
      <c r="A68" t="s">
        <v>8</v>
      </c>
      <c r="B68">
        <v>269</v>
      </c>
      <c r="C68">
        <v>90308</v>
      </c>
      <c r="D68">
        <v>16.399999999999999</v>
      </c>
      <c r="E68">
        <v>1.38</v>
      </c>
      <c r="F68">
        <v>19680</v>
      </c>
      <c r="G68">
        <v>687</v>
      </c>
    </row>
    <row r="69" spans="1:7" x14ac:dyDescent="0.3">
      <c r="A69" t="s">
        <v>9</v>
      </c>
      <c r="B69">
        <v>186</v>
      </c>
      <c r="C69">
        <v>46604</v>
      </c>
      <c r="D69">
        <v>13.6</v>
      </c>
      <c r="E69">
        <v>3.97</v>
      </c>
      <c r="F69">
        <v>29920</v>
      </c>
      <c r="G69">
        <v>747</v>
      </c>
    </row>
    <row r="70" spans="1:7" x14ac:dyDescent="0.3">
      <c r="A70" t="s">
        <v>9</v>
      </c>
      <c r="B70">
        <v>1630</v>
      </c>
      <c r="C70">
        <v>1304816</v>
      </c>
      <c r="D70">
        <v>40.299999999999997</v>
      </c>
      <c r="E70">
        <v>2.15</v>
      </c>
      <c r="F70">
        <v>88660</v>
      </c>
      <c r="G70">
        <v>1504</v>
      </c>
    </row>
    <row r="71" spans="1:7" x14ac:dyDescent="0.3">
      <c r="A71" t="s">
        <v>7</v>
      </c>
      <c r="B71">
        <v>827</v>
      </c>
      <c r="C71">
        <v>402282</v>
      </c>
      <c r="D71">
        <v>28.7</v>
      </c>
      <c r="E71">
        <v>2.54</v>
      </c>
      <c r="F71">
        <v>17220</v>
      </c>
      <c r="G71">
        <v>1374</v>
      </c>
    </row>
    <row r="72" spans="1:7" x14ac:dyDescent="0.3">
      <c r="A72" t="s">
        <v>9</v>
      </c>
      <c r="B72">
        <v>58</v>
      </c>
      <c r="C72">
        <v>8311</v>
      </c>
      <c r="D72">
        <v>7.6</v>
      </c>
      <c r="E72">
        <v>1.84</v>
      </c>
      <c r="F72">
        <v>16720</v>
      </c>
      <c r="G72">
        <v>683</v>
      </c>
    </row>
    <row r="73" spans="1:7" x14ac:dyDescent="0.3">
      <c r="A73" t="s">
        <v>7</v>
      </c>
      <c r="B73">
        <v>89</v>
      </c>
      <c r="C73">
        <v>19547</v>
      </c>
      <c r="D73">
        <v>9.4</v>
      </c>
      <c r="E73">
        <v>1.83</v>
      </c>
      <c r="F73">
        <v>5640</v>
      </c>
      <c r="G73">
        <v>237</v>
      </c>
    </row>
    <row r="74" spans="1:7" x14ac:dyDescent="0.3">
      <c r="A74" t="s">
        <v>7</v>
      </c>
      <c r="B74">
        <v>335</v>
      </c>
      <c r="C74">
        <v>109086</v>
      </c>
      <c r="D74">
        <v>18.3</v>
      </c>
      <c r="E74">
        <v>1.28</v>
      </c>
      <c r="F74">
        <v>10980</v>
      </c>
      <c r="G74">
        <v>1353</v>
      </c>
    </row>
    <row r="75" spans="1:7" x14ac:dyDescent="0.3">
      <c r="A75" t="s">
        <v>7</v>
      </c>
      <c r="B75">
        <v>496</v>
      </c>
      <c r="C75">
        <v>191625</v>
      </c>
      <c r="D75">
        <v>22.3</v>
      </c>
      <c r="E75">
        <v>4.84</v>
      </c>
      <c r="F75">
        <v>13380</v>
      </c>
      <c r="G75">
        <v>1142</v>
      </c>
    </row>
    <row r="76" spans="1:7" x14ac:dyDescent="0.3">
      <c r="A76" t="s">
        <v>8</v>
      </c>
      <c r="B76">
        <v>1214</v>
      </c>
      <c r="C76">
        <v>502147</v>
      </c>
      <c r="D76">
        <v>34.9</v>
      </c>
      <c r="E76">
        <v>4.95</v>
      </c>
      <c r="F76">
        <v>41880</v>
      </c>
      <c r="G76">
        <v>1391</v>
      </c>
    </row>
    <row r="77" spans="1:7" x14ac:dyDescent="0.3">
      <c r="A77" t="s">
        <v>8</v>
      </c>
      <c r="B77">
        <v>135</v>
      </c>
      <c r="C77">
        <v>36488</v>
      </c>
      <c r="D77">
        <v>11.7</v>
      </c>
      <c r="E77">
        <v>2.2999999999999998</v>
      </c>
      <c r="F77">
        <v>14040</v>
      </c>
      <c r="G77">
        <v>756</v>
      </c>
    </row>
    <row r="78" spans="1:7" x14ac:dyDescent="0.3">
      <c r="A78" t="s">
        <v>9</v>
      </c>
      <c r="B78">
        <v>329</v>
      </c>
      <c r="C78">
        <v>131425</v>
      </c>
      <c r="D78">
        <v>18.2</v>
      </c>
      <c r="E78">
        <v>4.7699999999999996</v>
      </c>
      <c r="F78">
        <v>40040</v>
      </c>
      <c r="G78">
        <v>1104</v>
      </c>
    </row>
    <row r="79" spans="1:7" x14ac:dyDescent="0.3">
      <c r="A79" t="s">
        <v>8</v>
      </c>
      <c r="B79">
        <v>468</v>
      </c>
      <c r="C79">
        <v>231626</v>
      </c>
      <c r="D79">
        <v>21.6</v>
      </c>
      <c r="E79">
        <v>1.27</v>
      </c>
      <c r="F79">
        <v>25920</v>
      </c>
      <c r="G79">
        <v>1076</v>
      </c>
    </row>
    <row r="80" spans="1:7" x14ac:dyDescent="0.3">
      <c r="A80" t="s">
        <v>8</v>
      </c>
      <c r="B80">
        <v>702</v>
      </c>
      <c r="C80">
        <v>459645</v>
      </c>
      <c r="D80">
        <v>26.5</v>
      </c>
      <c r="E80">
        <v>1.66</v>
      </c>
      <c r="F80">
        <v>31800</v>
      </c>
      <c r="G80">
        <v>1013</v>
      </c>
    </row>
    <row r="81" spans="1:7" x14ac:dyDescent="0.3">
      <c r="A81" t="s">
        <v>7</v>
      </c>
      <c r="B81">
        <v>265</v>
      </c>
      <c r="C81">
        <v>71441</v>
      </c>
      <c r="D81">
        <v>16.2</v>
      </c>
      <c r="E81">
        <v>1.87</v>
      </c>
      <c r="F81">
        <v>9720</v>
      </c>
      <c r="G81">
        <v>430</v>
      </c>
    </row>
    <row r="82" spans="1:7" x14ac:dyDescent="0.3">
      <c r="A82" t="s">
        <v>7</v>
      </c>
      <c r="B82">
        <v>14</v>
      </c>
      <c r="C82">
        <v>1034</v>
      </c>
      <c r="D82">
        <v>3.8</v>
      </c>
      <c r="E82">
        <v>4.4800000000000004</v>
      </c>
      <c r="F82">
        <v>2280</v>
      </c>
      <c r="G82">
        <v>474</v>
      </c>
    </row>
    <row r="83" spans="1:7" x14ac:dyDescent="0.3">
      <c r="A83" t="s">
        <v>7</v>
      </c>
      <c r="B83">
        <v>482</v>
      </c>
      <c r="C83">
        <v>247864</v>
      </c>
      <c r="D83">
        <v>22</v>
      </c>
      <c r="E83">
        <v>3.66</v>
      </c>
      <c r="F83">
        <v>13200</v>
      </c>
      <c r="G83">
        <v>1249</v>
      </c>
    </row>
    <row r="84" spans="1:7" x14ac:dyDescent="0.3">
      <c r="A84" t="s">
        <v>8</v>
      </c>
      <c r="B84">
        <v>191</v>
      </c>
      <c r="C84">
        <v>53617</v>
      </c>
      <c r="D84">
        <v>13.8</v>
      </c>
      <c r="E84">
        <v>1.1599999999999999</v>
      </c>
      <c r="F84">
        <v>16560</v>
      </c>
      <c r="G84">
        <v>923</v>
      </c>
    </row>
    <row r="85" spans="1:7" x14ac:dyDescent="0.3">
      <c r="A85" t="s">
        <v>7</v>
      </c>
      <c r="B85">
        <v>65</v>
      </c>
      <c r="C85">
        <v>12317</v>
      </c>
      <c r="D85">
        <v>8.1</v>
      </c>
      <c r="E85">
        <v>4.41</v>
      </c>
      <c r="F85">
        <v>4860</v>
      </c>
      <c r="G85">
        <v>766</v>
      </c>
    </row>
    <row r="86" spans="1:7" x14ac:dyDescent="0.3">
      <c r="A86" t="s">
        <v>9</v>
      </c>
      <c r="B86">
        <v>305</v>
      </c>
      <c r="C86">
        <v>106354</v>
      </c>
      <c r="D86">
        <v>17.5</v>
      </c>
      <c r="E86">
        <v>2.84</v>
      </c>
      <c r="F86">
        <v>38500</v>
      </c>
      <c r="G86">
        <v>1340</v>
      </c>
    </row>
    <row r="87" spans="1:7" x14ac:dyDescent="0.3">
      <c r="A87" t="s">
        <v>7</v>
      </c>
      <c r="B87">
        <v>654</v>
      </c>
      <c r="C87">
        <v>332283</v>
      </c>
      <c r="D87">
        <v>25.5</v>
      </c>
      <c r="E87">
        <v>4.08</v>
      </c>
      <c r="F87">
        <v>15300</v>
      </c>
      <c r="G87">
        <v>1302</v>
      </c>
    </row>
    <row r="88" spans="1:7" x14ac:dyDescent="0.3">
      <c r="A88" t="s">
        <v>8</v>
      </c>
      <c r="B88">
        <v>662</v>
      </c>
      <c r="C88">
        <v>332760</v>
      </c>
      <c r="D88">
        <v>25.8</v>
      </c>
      <c r="E88">
        <v>4.24</v>
      </c>
      <c r="F88">
        <v>30960</v>
      </c>
      <c r="G88">
        <v>1212</v>
      </c>
    </row>
    <row r="89" spans="1:7" x14ac:dyDescent="0.3">
      <c r="A89" t="s">
        <v>7</v>
      </c>
      <c r="B89">
        <v>47</v>
      </c>
      <c r="C89">
        <v>7902</v>
      </c>
      <c r="D89">
        <v>6.9</v>
      </c>
      <c r="E89">
        <v>1.57</v>
      </c>
      <c r="F89">
        <v>4140</v>
      </c>
      <c r="G89">
        <v>717</v>
      </c>
    </row>
    <row r="90" spans="1:7" x14ac:dyDescent="0.3">
      <c r="A90" t="s">
        <v>9</v>
      </c>
      <c r="B90">
        <v>488</v>
      </c>
      <c r="C90">
        <v>270389</v>
      </c>
      <c r="D90">
        <v>22.1</v>
      </c>
      <c r="E90">
        <v>4.8</v>
      </c>
      <c r="F90">
        <v>48620</v>
      </c>
      <c r="G90">
        <v>1155</v>
      </c>
    </row>
    <row r="91" spans="1:7" x14ac:dyDescent="0.3">
      <c r="A91" t="s">
        <v>7</v>
      </c>
      <c r="B91">
        <v>94</v>
      </c>
      <c r="C91">
        <v>10195</v>
      </c>
      <c r="D91">
        <v>9.6999999999999993</v>
      </c>
      <c r="E91">
        <v>1.01</v>
      </c>
      <c r="F91">
        <v>5820</v>
      </c>
      <c r="G91">
        <v>618</v>
      </c>
    </row>
    <row r="92" spans="1:7" x14ac:dyDescent="0.3">
      <c r="A92" t="s">
        <v>7</v>
      </c>
      <c r="B92">
        <v>19</v>
      </c>
      <c r="C92">
        <v>1645</v>
      </c>
      <c r="D92">
        <v>4.4000000000000004</v>
      </c>
      <c r="E92">
        <v>3.93</v>
      </c>
      <c r="F92">
        <v>2640</v>
      </c>
      <c r="G92">
        <v>551</v>
      </c>
    </row>
    <row r="93" spans="1:7" x14ac:dyDescent="0.3">
      <c r="A93" t="s">
        <v>7</v>
      </c>
      <c r="B93">
        <v>22</v>
      </c>
      <c r="C93">
        <v>2604</v>
      </c>
      <c r="D93">
        <v>4.7</v>
      </c>
      <c r="E93">
        <v>2.96</v>
      </c>
      <c r="F93">
        <v>2820</v>
      </c>
      <c r="G93">
        <v>553</v>
      </c>
    </row>
    <row r="94" spans="1:7" x14ac:dyDescent="0.3">
      <c r="A94" t="s">
        <v>8</v>
      </c>
      <c r="B94">
        <v>1649</v>
      </c>
      <c r="C94">
        <v>1562803</v>
      </c>
      <c r="D94">
        <v>40.6</v>
      </c>
      <c r="E94">
        <v>2.11</v>
      </c>
      <c r="F94">
        <v>48720</v>
      </c>
      <c r="G94">
        <v>968</v>
      </c>
    </row>
    <row r="95" spans="1:7" x14ac:dyDescent="0.3">
      <c r="A95" t="s">
        <v>8</v>
      </c>
      <c r="B95">
        <v>396</v>
      </c>
      <c r="C95">
        <v>140694</v>
      </c>
      <c r="D95">
        <v>19.899999999999999</v>
      </c>
      <c r="E95">
        <v>1.36</v>
      </c>
      <c r="F95">
        <v>23880</v>
      </c>
      <c r="G95">
        <v>996</v>
      </c>
    </row>
    <row r="96" spans="1:7" x14ac:dyDescent="0.3">
      <c r="A96" t="s">
        <v>9</v>
      </c>
      <c r="B96">
        <v>54</v>
      </c>
      <c r="C96">
        <v>7332</v>
      </c>
      <c r="D96">
        <v>7.3</v>
      </c>
      <c r="E96">
        <v>1.7</v>
      </c>
      <c r="F96">
        <v>16060</v>
      </c>
      <c r="G96">
        <v>819</v>
      </c>
    </row>
    <row r="97" spans="1:7" x14ac:dyDescent="0.3">
      <c r="A97" t="s">
        <v>8</v>
      </c>
      <c r="B97">
        <v>1318</v>
      </c>
      <c r="C97">
        <v>1371899</v>
      </c>
      <c r="D97">
        <v>36.299999999999997</v>
      </c>
      <c r="E97">
        <v>3.2</v>
      </c>
      <c r="F97">
        <v>43560</v>
      </c>
      <c r="G97">
        <v>1127</v>
      </c>
    </row>
    <row r="98" spans="1:7" x14ac:dyDescent="0.3">
      <c r="A98" t="s">
        <v>7</v>
      </c>
      <c r="B98">
        <v>284</v>
      </c>
      <c r="C98">
        <v>98360</v>
      </c>
      <c r="D98">
        <v>16.8</v>
      </c>
      <c r="E98">
        <v>4.4400000000000004</v>
      </c>
      <c r="F98">
        <v>10080</v>
      </c>
      <c r="G98">
        <v>858</v>
      </c>
    </row>
    <row r="99" spans="1:7" x14ac:dyDescent="0.3">
      <c r="A99" t="s">
        <v>8</v>
      </c>
      <c r="B99">
        <v>112</v>
      </c>
      <c r="C99">
        <v>24522</v>
      </c>
      <c r="D99">
        <v>10.6</v>
      </c>
      <c r="E99">
        <v>3.63</v>
      </c>
      <c r="F99">
        <v>12720</v>
      </c>
      <c r="G99">
        <v>786</v>
      </c>
    </row>
    <row r="100" spans="1:7" x14ac:dyDescent="0.3">
      <c r="A100" t="s">
        <v>7</v>
      </c>
      <c r="B100">
        <v>87</v>
      </c>
      <c r="C100">
        <v>18283</v>
      </c>
      <c r="D100">
        <v>9.3000000000000007</v>
      </c>
      <c r="E100">
        <v>3.39</v>
      </c>
      <c r="F100">
        <v>5580</v>
      </c>
      <c r="G100">
        <v>899</v>
      </c>
    </row>
    <row r="101" spans="1:7" x14ac:dyDescent="0.3">
      <c r="A101" t="s">
        <v>9</v>
      </c>
      <c r="B101">
        <v>29</v>
      </c>
      <c r="C101">
        <v>3125</v>
      </c>
      <c r="D101">
        <v>5.4</v>
      </c>
      <c r="E101">
        <v>1.02</v>
      </c>
      <c r="F101">
        <v>11880</v>
      </c>
      <c r="G101">
        <v>526</v>
      </c>
    </row>
    <row r="102" spans="1:7" x14ac:dyDescent="0.3">
      <c r="A102" t="s">
        <v>8</v>
      </c>
      <c r="B102">
        <v>504</v>
      </c>
      <c r="C102">
        <v>280800</v>
      </c>
      <c r="D102">
        <v>22.5</v>
      </c>
      <c r="E102">
        <v>2.89</v>
      </c>
      <c r="F102">
        <v>27000</v>
      </c>
      <c r="G102">
        <v>1104</v>
      </c>
    </row>
    <row r="103" spans="1:7" x14ac:dyDescent="0.3">
      <c r="A103" t="s">
        <v>9</v>
      </c>
      <c r="B103">
        <v>2226</v>
      </c>
      <c r="C103">
        <v>2171302</v>
      </c>
      <c r="D103">
        <v>47.2</v>
      </c>
      <c r="E103">
        <v>1.1499999999999999</v>
      </c>
      <c r="F103">
        <v>103840</v>
      </c>
      <c r="G103">
        <v>1347</v>
      </c>
    </row>
    <row r="104" spans="1:7" x14ac:dyDescent="0.3">
      <c r="A104" t="s">
        <v>8</v>
      </c>
      <c r="B104">
        <v>86</v>
      </c>
      <c r="C104">
        <v>17257</v>
      </c>
      <c r="D104">
        <v>9.3000000000000007</v>
      </c>
      <c r="E104">
        <v>1.38</v>
      </c>
      <c r="F104">
        <v>11160</v>
      </c>
      <c r="G104">
        <v>815</v>
      </c>
    </row>
    <row r="105" spans="1:7" x14ac:dyDescent="0.3">
      <c r="A105" t="s">
        <v>9</v>
      </c>
      <c r="B105">
        <v>44</v>
      </c>
      <c r="C105">
        <v>5023</v>
      </c>
      <c r="D105">
        <v>6.6</v>
      </c>
      <c r="E105">
        <v>4.3600000000000003</v>
      </c>
      <c r="F105">
        <v>14520</v>
      </c>
      <c r="G105">
        <v>1113</v>
      </c>
    </row>
    <row r="106" spans="1:7" x14ac:dyDescent="0.3">
      <c r="A106" t="s">
        <v>9</v>
      </c>
      <c r="B106">
        <v>160</v>
      </c>
      <c r="C106">
        <v>48248</v>
      </c>
      <c r="D106">
        <v>12.6</v>
      </c>
      <c r="E106">
        <v>4.51</v>
      </c>
      <c r="F106">
        <v>27720</v>
      </c>
      <c r="G106">
        <v>1427</v>
      </c>
    </row>
    <row r="107" spans="1:7" x14ac:dyDescent="0.3">
      <c r="A107" t="s">
        <v>7</v>
      </c>
      <c r="B107">
        <v>87</v>
      </c>
      <c r="C107">
        <v>16191</v>
      </c>
      <c r="D107">
        <v>9.3000000000000007</v>
      </c>
      <c r="E107">
        <v>4.1399999999999997</v>
      </c>
      <c r="F107">
        <v>5580</v>
      </c>
      <c r="G107">
        <v>743</v>
      </c>
    </row>
    <row r="108" spans="1:7" x14ac:dyDescent="0.3">
      <c r="A108" t="s">
        <v>7</v>
      </c>
      <c r="B108">
        <v>6</v>
      </c>
      <c r="C108">
        <v>464</v>
      </c>
      <c r="D108">
        <v>2.5</v>
      </c>
      <c r="E108">
        <v>2.5499999999999998</v>
      </c>
      <c r="F108">
        <v>1500</v>
      </c>
      <c r="G108">
        <v>724</v>
      </c>
    </row>
    <row r="109" spans="1:7" x14ac:dyDescent="0.3">
      <c r="A109" t="s">
        <v>7</v>
      </c>
      <c r="B109">
        <v>19</v>
      </c>
      <c r="C109">
        <v>1736</v>
      </c>
      <c r="D109">
        <v>4.4000000000000004</v>
      </c>
      <c r="E109">
        <v>4.38</v>
      </c>
      <c r="F109">
        <v>2640</v>
      </c>
      <c r="G109">
        <v>344</v>
      </c>
    </row>
    <row r="110" spans="1:7" x14ac:dyDescent="0.3">
      <c r="A110" t="s">
        <v>8</v>
      </c>
      <c r="B110">
        <v>760</v>
      </c>
      <c r="C110">
        <v>519342</v>
      </c>
      <c r="D110">
        <v>27.6</v>
      </c>
      <c r="E110">
        <v>3.67</v>
      </c>
      <c r="F110">
        <v>33120</v>
      </c>
      <c r="G110">
        <v>1089</v>
      </c>
    </row>
    <row r="111" spans="1:7" x14ac:dyDescent="0.3">
      <c r="A111" t="s">
        <v>8</v>
      </c>
      <c r="B111">
        <v>40</v>
      </c>
      <c r="C111">
        <v>7490</v>
      </c>
      <c r="D111">
        <v>6.3</v>
      </c>
      <c r="E111">
        <v>1.08</v>
      </c>
      <c r="F111">
        <v>7560</v>
      </c>
      <c r="G111">
        <v>839</v>
      </c>
    </row>
    <row r="112" spans="1:7" x14ac:dyDescent="0.3">
      <c r="A112" t="s">
        <v>7</v>
      </c>
      <c r="B112">
        <v>181</v>
      </c>
      <c r="C112">
        <v>51284</v>
      </c>
      <c r="D112">
        <v>13.4</v>
      </c>
      <c r="E112">
        <v>4.55</v>
      </c>
      <c r="F112">
        <v>8040</v>
      </c>
      <c r="G112">
        <v>200</v>
      </c>
    </row>
    <row r="113" spans="1:7" x14ac:dyDescent="0.3">
      <c r="A113" t="s">
        <v>7</v>
      </c>
      <c r="B113">
        <v>271</v>
      </c>
      <c r="C113">
        <v>105777</v>
      </c>
      <c r="D113">
        <v>16.5</v>
      </c>
      <c r="E113">
        <v>4.59</v>
      </c>
      <c r="F113">
        <v>9900</v>
      </c>
      <c r="G113">
        <v>837</v>
      </c>
    </row>
    <row r="114" spans="1:7" x14ac:dyDescent="0.3">
      <c r="A114" t="s">
        <v>9</v>
      </c>
      <c r="B114">
        <v>110</v>
      </c>
      <c r="C114">
        <v>20495</v>
      </c>
      <c r="D114">
        <v>10.5</v>
      </c>
      <c r="E114">
        <v>3.51</v>
      </c>
      <c r="F114">
        <v>23100</v>
      </c>
      <c r="G114">
        <v>790</v>
      </c>
    </row>
    <row r="115" spans="1:7" x14ac:dyDescent="0.3">
      <c r="A115" t="s">
        <v>8</v>
      </c>
      <c r="B115">
        <v>1229</v>
      </c>
      <c r="C115">
        <v>745342</v>
      </c>
      <c r="D115">
        <v>35</v>
      </c>
      <c r="E115">
        <v>4.54</v>
      </c>
      <c r="F115">
        <v>42000</v>
      </c>
      <c r="G115">
        <v>1083</v>
      </c>
    </row>
    <row r="116" spans="1:7" x14ac:dyDescent="0.3">
      <c r="A116" t="s">
        <v>8</v>
      </c>
      <c r="B116">
        <v>811</v>
      </c>
      <c r="C116">
        <v>484144</v>
      </c>
      <c r="D116">
        <v>28.4</v>
      </c>
      <c r="E116">
        <v>2.2799999999999998</v>
      </c>
      <c r="F116">
        <v>34080</v>
      </c>
      <c r="G116">
        <v>705</v>
      </c>
    </row>
    <row r="117" spans="1:7" x14ac:dyDescent="0.3">
      <c r="A117" t="s">
        <v>7</v>
      </c>
      <c r="B117">
        <v>222</v>
      </c>
      <c r="C117">
        <v>43947</v>
      </c>
      <c r="D117">
        <v>14.9</v>
      </c>
      <c r="E117">
        <v>3.86</v>
      </c>
      <c r="F117">
        <v>8940</v>
      </c>
      <c r="G117">
        <v>794</v>
      </c>
    </row>
    <row r="118" spans="1:7" x14ac:dyDescent="0.3">
      <c r="A118" t="s">
        <v>8</v>
      </c>
      <c r="B118">
        <v>158</v>
      </c>
      <c r="C118">
        <v>57143</v>
      </c>
      <c r="D118">
        <v>12.5</v>
      </c>
      <c r="E118">
        <v>4.8899999999999997</v>
      </c>
      <c r="F118">
        <v>15000</v>
      </c>
      <c r="G118">
        <v>865</v>
      </c>
    </row>
    <row r="119" spans="1:7" x14ac:dyDescent="0.3">
      <c r="A119" t="s">
        <v>8</v>
      </c>
      <c r="B119">
        <v>773</v>
      </c>
      <c r="C119">
        <v>393483</v>
      </c>
      <c r="D119">
        <v>27.8</v>
      </c>
      <c r="E119">
        <v>2.84</v>
      </c>
      <c r="F119">
        <v>33360</v>
      </c>
      <c r="G119">
        <v>848</v>
      </c>
    </row>
    <row r="120" spans="1:7" x14ac:dyDescent="0.3">
      <c r="A120" t="s">
        <v>7</v>
      </c>
      <c r="B120">
        <v>588</v>
      </c>
      <c r="C120">
        <v>293273</v>
      </c>
      <c r="D120">
        <v>24.2</v>
      </c>
      <c r="E120">
        <v>3.89</v>
      </c>
      <c r="F120">
        <v>14520</v>
      </c>
      <c r="G120">
        <v>1370</v>
      </c>
    </row>
    <row r="121" spans="1:7" x14ac:dyDescent="0.3">
      <c r="A121" t="s">
        <v>7</v>
      </c>
      <c r="B121">
        <v>297</v>
      </c>
      <c r="C121">
        <v>130885</v>
      </c>
      <c r="D121">
        <v>17.2</v>
      </c>
      <c r="E121">
        <v>3.83</v>
      </c>
      <c r="F121">
        <v>10320</v>
      </c>
      <c r="G121">
        <v>969</v>
      </c>
    </row>
    <row r="122" spans="1:7" x14ac:dyDescent="0.3">
      <c r="A122" t="s">
        <v>9</v>
      </c>
      <c r="B122">
        <v>131</v>
      </c>
      <c r="C122">
        <v>18928</v>
      </c>
      <c r="D122">
        <v>11.4</v>
      </c>
      <c r="E122">
        <v>4.9800000000000004</v>
      </c>
      <c r="F122">
        <v>25080</v>
      </c>
      <c r="G122">
        <v>637</v>
      </c>
    </row>
    <row r="123" spans="1:7" x14ac:dyDescent="0.3">
      <c r="A123" t="s">
        <v>7</v>
      </c>
      <c r="B123">
        <v>80</v>
      </c>
      <c r="C123">
        <v>16429</v>
      </c>
      <c r="D123">
        <v>8.9</v>
      </c>
      <c r="E123">
        <v>4.7699999999999996</v>
      </c>
      <c r="F123">
        <v>5340</v>
      </c>
      <c r="G123">
        <v>557</v>
      </c>
    </row>
    <row r="124" spans="1:7" x14ac:dyDescent="0.3">
      <c r="A124" t="s">
        <v>7</v>
      </c>
      <c r="B124">
        <v>294</v>
      </c>
      <c r="C124">
        <v>134778</v>
      </c>
      <c r="D124">
        <v>17.100000000000001</v>
      </c>
      <c r="E124">
        <v>4.3499999999999996</v>
      </c>
      <c r="F124">
        <v>10260</v>
      </c>
      <c r="G124">
        <v>921</v>
      </c>
    </row>
    <row r="125" spans="1:7" x14ac:dyDescent="0.3">
      <c r="A125" t="s">
        <v>8</v>
      </c>
      <c r="B125">
        <v>301</v>
      </c>
      <c r="C125">
        <v>84979</v>
      </c>
      <c r="D125">
        <v>17.3</v>
      </c>
      <c r="E125">
        <v>3.52</v>
      </c>
      <c r="F125">
        <v>20760</v>
      </c>
      <c r="G125">
        <v>582</v>
      </c>
    </row>
    <row r="126" spans="1:7" x14ac:dyDescent="0.3">
      <c r="A126" t="s">
        <v>8</v>
      </c>
      <c r="B126">
        <v>747</v>
      </c>
      <c r="C126">
        <v>299477</v>
      </c>
      <c r="D126">
        <v>27.3</v>
      </c>
      <c r="E126">
        <v>3.26</v>
      </c>
      <c r="F126">
        <v>32760</v>
      </c>
      <c r="G126">
        <v>1132</v>
      </c>
    </row>
    <row r="127" spans="1:7" x14ac:dyDescent="0.3">
      <c r="A127" t="s">
        <v>8</v>
      </c>
      <c r="B127">
        <v>123</v>
      </c>
      <c r="C127">
        <v>26063</v>
      </c>
      <c r="D127">
        <v>11.1</v>
      </c>
      <c r="E127">
        <v>3.21</v>
      </c>
      <c r="F127">
        <v>13320</v>
      </c>
      <c r="G127">
        <v>1079</v>
      </c>
    </row>
    <row r="128" spans="1:7" x14ac:dyDescent="0.3">
      <c r="A128" t="s">
        <v>7</v>
      </c>
      <c r="B128">
        <v>211</v>
      </c>
      <c r="C128">
        <v>133005</v>
      </c>
      <c r="D128">
        <v>14.6</v>
      </c>
      <c r="E128">
        <v>3.94</v>
      </c>
      <c r="F128">
        <v>8760</v>
      </c>
      <c r="G128">
        <v>1249</v>
      </c>
    </row>
    <row r="129" spans="1:7" x14ac:dyDescent="0.3">
      <c r="A129" t="s">
        <v>8</v>
      </c>
      <c r="B129">
        <v>310</v>
      </c>
      <c r="C129">
        <v>130902</v>
      </c>
      <c r="D129">
        <v>17.600000000000001</v>
      </c>
      <c r="E129">
        <v>3.52</v>
      </c>
      <c r="F129">
        <v>21120</v>
      </c>
      <c r="G129">
        <v>1051</v>
      </c>
    </row>
    <row r="130" spans="1:7" x14ac:dyDescent="0.3">
      <c r="A130" t="s">
        <v>8</v>
      </c>
      <c r="B130">
        <v>52</v>
      </c>
      <c r="C130">
        <v>6974</v>
      </c>
      <c r="D130">
        <v>7.2</v>
      </c>
      <c r="E130">
        <v>2.16</v>
      </c>
      <c r="F130">
        <v>8640</v>
      </c>
      <c r="G130">
        <v>257</v>
      </c>
    </row>
    <row r="131" spans="1:7" x14ac:dyDescent="0.3">
      <c r="A131" t="s">
        <v>7</v>
      </c>
      <c r="B131">
        <v>30</v>
      </c>
      <c r="C131">
        <v>3427</v>
      </c>
      <c r="D131">
        <v>5.5</v>
      </c>
      <c r="E131">
        <v>4.03</v>
      </c>
      <c r="F131">
        <v>3300</v>
      </c>
      <c r="G131">
        <v>334</v>
      </c>
    </row>
    <row r="132" spans="1:7" x14ac:dyDescent="0.3">
      <c r="A132" t="s">
        <v>7</v>
      </c>
      <c r="B132">
        <v>51</v>
      </c>
      <c r="C132">
        <v>8803</v>
      </c>
      <c r="D132">
        <v>7.1</v>
      </c>
      <c r="E132">
        <v>1.92</v>
      </c>
      <c r="F132">
        <v>4260</v>
      </c>
      <c r="G132">
        <v>621</v>
      </c>
    </row>
    <row r="133" spans="1:7" x14ac:dyDescent="0.3">
      <c r="A133" t="s">
        <v>7</v>
      </c>
      <c r="B133">
        <v>143</v>
      </c>
      <c r="C133">
        <v>41265</v>
      </c>
      <c r="D133">
        <v>11.9</v>
      </c>
      <c r="E133">
        <v>1.51</v>
      </c>
      <c r="F133">
        <v>7140</v>
      </c>
      <c r="G133">
        <v>838</v>
      </c>
    </row>
    <row r="134" spans="1:7" x14ac:dyDescent="0.3">
      <c r="A134" t="s">
        <v>8</v>
      </c>
      <c r="B134">
        <v>205</v>
      </c>
      <c r="C134">
        <v>37886</v>
      </c>
      <c r="D134">
        <v>14.3</v>
      </c>
      <c r="E134">
        <v>1.06</v>
      </c>
      <c r="F134">
        <v>17160</v>
      </c>
      <c r="G134">
        <v>423</v>
      </c>
    </row>
    <row r="135" spans="1:7" x14ac:dyDescent="0.3">
      <c r="A135" t="s">
        <v>7</v>
      </c>
      <c r="B135">
        <v>138</v>
      </c>
      <c r="C135">
        <v>28302</v>
      </c>
      <c r="D135">
        <v>11.8</v>
      </c>
      <c r="E135">
        <v>2.4500000000000002</v>
      </c>
      <c r="F135">
        <v>7080</v>
      </c>
      <c r="G135">
        <v>656</v>
      </c>
    </row>
    <row r="136" spans="1:7" x14ac:dyDescent="0.3">
      <c r="A136" t="s">
        <v>8</v>
      </c>
      <c r="B136">
        <v>21</v>
      </c>
      <c r="C136">
        <v>1851</v>
      </c>
      <c r="D136">
        <v>4.5999999999999996</v>
      </c>
      <c r="E136">
        <v>4.95</v>
      </c>
      <c r="F136">
        <v>5520</v>
      </c>
      <c r="G136">
        <v>370</v>
      </c>
    </row>
    <row r="137" spans="1:7" x14ac:dyDescent="0.3">
      <c r="A137" t="s">
        <v>8</v>
      </c>
      <c r="B137">
        <v>80</v>
      </c>
      <c r="C137">
        <v>23639</v>
      </c>
      <c r="D137">
        <v>9</v>
      </c>
      <c r="E137">
        <v>3.3</v>
      </c>
      <c r="F137">
        <v>10800</v>
      </c>
      <c r="G137">
        <v>864</v>
      </c>
    </row>
    <row r="138" spans="1:7" x14ac:dyDescent="0.3">
      <c r="A138" t="s">
        <v>8</v>
      </c>
      <c r="B138">
        <v>730</v>
      </c>
      <c r="C138">
        <v>313032</v>
      </c>
      <c r="D138">
        <v>27</v>
      </c>
      <c r="E138">
        <v>1.84</v>
      </c>
      <c r="F138">
        <v>32400</v>
      </c>
      <c r="G138">
        <v>1070</v>
      </c>
    </row>
    <row r="139" spans="1:7" x14ac:dyDescent="0.3">
      <c r="A139" t="s">
        <v>7</v>
      </c>
      <c r="B139">
        <v>57</v>
      </c>
      <c r="C139">
        <v>7008</v>
      </c>
      <c r="D139">
        <v>7.5</v>
      </c>
      <c r="E139">
        <v>4.79</v>
      </c>
      <c r="F139">
        <v>4500</v>
      </c>
      <c r="G139">
        <v>827</v>
      </c>
    </row>
    <row r="140" spans="1:7" x14ac:dyDescent="0.3">
      <c r="A140" t="s">
        <v>7</v>
      </c>
      <c r="B140">
        <v>60</v>
      </c>
      <c r="C140">
        <v>9344</v>
      </c>
      <c r="D140">
        <v>7.7</v>
      </c>
      <c r="E140">
        <v>4.3499999999999996</v>
      </c>
      <c r="F140">
        <v>4620</v>
      </c>
      <c r="G140">
        <v>799</v>
      </c>
    </row>
    <row r="141" spans="1:7" x14ac:dyDescent="0.3">
      <c r="A141" t="s">
        <v>8</v>
      </c>
      <c r="B141">
        <v>698</v>
      </c>
      <c r="C141">
        <v>462896</v>
      </c>
      <c r="D141">
        <v>26.4</v>
      </c>
      <c r="E141">
        <v>4.57</v>
      </c>
      <c r="F141">
        <v>31680</v>
      </c>
      <c r="G141">
        <v>1113</v>
      </c>
    </row>
    <row r="142" spans="1:7" x14ac:dyDescent="0.3">
      <c r="A142" t="s">
        <v>9</v>
      </c>
      <c r="B142">
        <v>938</v>
      </c>
      <c r="C142">
        <v>608768</v>
      </c>
      <c r="D142">
        <v>30.7</v>
      </c>
      <c r="E142">
        <v>2.8</v>
      </c>
      <c r="F142">
        <v>67540</v>
      </c>
      <c r="G142">
        <v>820</v>
      </c>
    </row>
    <row r="143" spans="1:7" x14ac:dyDescent="0.3">
      <c r="A143" t="s">
        <v>8</v>
      </c>
      <c r="B143">
        <v>226</v>
      </c>
      <c r="C143">
        <v>79946</v>
      </c>
      <c r="D143">
        <v>15</v>
      </c>
      <c r="E143">
        <v>1.4</v>
      </c>
      <c r="F143">
        <v>18000</v>
      </c>
      <c r="G143">
        <v>564</v>
      </c>
    </row>
    <row r="144" spans="1:7" x14ac:dyDescent="0.3">
      <c r="A144" t="s">
        <v>7</v>
      </c>
      <c r="B144">
        <v>114</v>
      </c>
      <c r="C144">
        <v>34552</v>
      </c>
      <c r="D144">
        <v>10.7</v>
      </c>
      <c r="E144">
        <v>2.23</v>
      </c>
      <c r="F144">
        <v>6420</v>
      </c>
      <c r="G144">
        <v>632</v>
      </c>
    </row>
    <row r="145" spans="1:7" x14ac:dyDescent="0.3">
      <c r="A145" t="s">
        <v>9</v>
      </c>
      <c r="B145">
        <v>484</v>
      </c>
      <c r="C145">
        <v>298860</v>
      </c>
      <c r="D145">
        <v>21.9</v>
      </c>
      <c r="E145">
        <v>4.5</v>
      </c>
      <c r="F145">
        <v>48180</v>
      </c>
      <c r="G145">
        <v>1311</v>
      </c>
    </row>
    <row r="146" spans="1:7" x14ac:dyDescent="0.3">
      <c r="A146" t="s">
        <v>8</v>
      </c>
      <c r="B146">
        <v>384</v>
      </c>
      <c r="C146">
        <v>141800</v>
      </c>
      <c r="D146">
        <v>19.600000000000001</v>
      </c>
      <c r="E146">
        <v>2.86</v>
      </c>
      <c r="F146">
        <v>23520</v>
      </c>
      <c r="G146">
        <v>690</v>
      </c>
    </row>
    <row r="147" spans="1:7" x14ac:dyDescent="0.3">
      <c r="A147" t="s">
        <v>9</v>
      </c>
      <c r="B147">
        <v>1329</v>
      </c>
      <c r="C147">
        <v>823298</v>
      </c>
      <c r="D147">
        <v>36.5</v>
      </c>
      <c r="E147">
        <v>3.68</v>
      </c>
      <c r="F147">
        <v>80300</v>
      </c>
      <c r="G147">
        <v>1510</v>
      </c>
    </row>
    <row r="148" spans="1:7" x14ac:dyDescent="0.3">
      <c r="A148" t="s">
        <v>7</v>
      </c>
      <c r="B148">
        <v>48</v>
      </c>
      <c r="C148">
        <v>7209</v>
      </c>
      <c r="D148">
        <v>6.9</v>
      </c>
      <c r="E148">
        <v>3.08</v>
      </c>
      <c r="F148">
        <v>4140</v>
      </c>
      <c r="G148">
        <v>722</v>
      </c>
    </row>
    <row r="149" spans="1:7" x14ac:dyDescent="0.3">
      <c r="A149" t="s">
        <v>7</v>
      </c>
      <c r="B149">
        <v>499</v>
      </c>
      <c r="C149">
        <v>287188</v>
      </c>
      <c r="D149">
        <v>22.4</v>
      </c>
      <c r="E149">
        <v>2.79</v>
      </c>
      <c r="F149">
        <v>13440</v>
      </c>
      <c r="G149">
        <v>728</v>
      </c>
    </row>
    <row r="150" spans="1:7" x14ac:dyDescent="0.3">
      <c r="A150" t="s">
        <v>9</v>
      </c>
      <c r="B150">
        <v>823</v>
      </c>
      <c r="C150">
        <v>600900</v>
      </c>
      <c r="D150">
        <v>28.6</v>
      </c>
      <c r="E150">
        <v>4.07</v>
      </c>
      <c r="F150">
        <v>62920</v>
      </c>
      <c r="G150">
        <v>1111</v>
      </c>
    </row>
    <row r="151" spans="1:7" x14ac:dyDescent="0.3">
      <c r="A151" t="s">
        <v>8</v>
      </c>
      <c r="B151">
        <v>468</v>
      </c>
      <c r="C151">
        <v>218701</v>
      </c>
      <c r="D151">
        <v>21.6</v>
      </c>
      <c r="E151">
        <v>4.13</v>
      </c>
      <c r="F151">
        <v>25920</v>
      </c>
      <c r="G151">
        <v>865</v>
      </c>
    </row>
    <row r="152" spans="1:7" x14ac:dyDescent="0.3">
      <c r="A152" t="s">
        <v>9</v>
      </c>
      <c r="B152">
        <v>564</v>
      </c>
      <c r="C152">
        <v>336958</v>
      </c>
      <c r="D152">
        <v>23.8</v>
      </c>
      <c r="E152">
        <v>3.92</v>
      </c>
      <c r="F152">
        <v>52360</v>
      </c>
      <c r="G152">
        <v>1261</v>
      </c>
    </row>
    <row r="153" spans="1:7" x14ac:dyDescent="0.3">
      <c r="A153" t="s">
        <v>8</v>
      </c>
      <c r="B153">
        <v>275</v>
      </c>
      <c r="C153">
        <v>94319</v>
      </c>
      <c r="D153">
        <v>16.7</v>
      </c>
      <c r="E153">
        <v>1.52</v>
      </c>
      <c r="F153">
        <v>20040</v>
      </c>
      <c r="G153">
        <v>692</v>
      </c>
    </row>
    <row r="154" spans="1:7" x14ac:dyDescent="0.3">
      <c r="A154" t="s">
        <v>7</v>
      </c>
      <c r="B154">
        <v>33</v>
      </c>
      <c r="C154">
        <v>4154</v>
      </c>
      <c r="D154">
        <v>5.8</v>
      </c>
      <c r="E154">
        <v>4.28</v>
      </c>
      <c r="F154">
        <v>3480</v>
      </c>
      <c r="G154">
        <v>279</v>
      </c>
    </row>
    <row r="155" spans="1:7" x14ac:dyDescent="0.3">
      <c r="A155" t="s">
        <v>7</v>
      </c>
      <c r="B155">
        <v>256</v>
      </c>
      <c r="C155">
        <v>99428</v>
      </c>
      <c r="D155">
        <v>16</v>
      </c>
      <c r="E155">
        <v>4.26</v>
      </c>
      <c r="F155">
        <v>9600</v>
      </c>
      <c r="G155">
        <v>1446</v>
      </c>
    </row>
    <row r="156" spans="1:7" x14ac:dyDescent="0.3">
      <c r="A156" t="s">
        <v>7</v>
      </c>
      <c r="B156">
        <v>224</v>
      </c>
      <c r="C156">
        <v>63437</v>
      </c>
      <c r="D156">
        <v>15</v>
      </c>
      <c r="E156">
        <v>4.54</v>
      </c>
      <c r="F156">
        <v>9000</v>
      </c>
      <c r="G156">
        <v>469</v>
      </c>
    </row>
    <row r="157" spans="1:7" x14ac:dyDescent="0.3">
      <c r="A157" t="s">
        <v>7</v>
      </c>
      <c r="B157">
        <v>1</v>
      </c>
      <c r="C157">
        <v>17</v>
      </c>
      <c r="D157">
        <v>1</v>
      </c>
      <c r="E157">
        <v>1.56</v>
      </c>
      <c r="F157">
        <v>600</v>
      </c>
      <c r="G157">
        <v>351</v>
      </c>
    </row>
    <row r="158" spans="1:7" x14ac:dyDescent="0.3">
      <c r="A158" t="s">
        <v>7</v>
      </c>
      <c r="B158">
        <v>115</v>
      </c>
      <c r="C158">
        <v>29516</v>
      </c>
      <c r="D158">
        <v>10.7</v>
      </c>
      <c r="E158">
        <v>1.88</v>
      </c>
      <c r="F158">
        <v>6420</v>
      </c>
      <c r="G158">
        <v>276</v>
      </c>
    </row>
    <row r="159" spans="1:7" x14ac:dyDescent="0.3">
      <c r="A159" t="s">
        <v>7</v>
      </c>
      <c r="B159">
        <v>274</v>
      </c>
      <c r="C159">
        <v>94956</v>
      </c>
      <c r="D159">
        <v>16.5</v>
      </c>
      <c r="E159">
        <v>4.99</v>
      </c>
      <c r="F159">
        <v>9900</v>
      </c>
      <c r="G159">
        <v>1042</v>
      </c>
    </row>
    <row r="160" spans="1:7" x14ac:dyDescent="0.3">
      <c r="A160" t="s">
        <v>7</v>
      </c>
      <c r="B160">
        <v>137</v>
      </c>
      <c r="C160">
        <v>30948</v>
      </c>
      <c r="D160">
        <v>11.7</v>
      </c>
      <c r="E160">
        <v>4.84</v>
      </c>
      <c r="F160">
        <v>7020</v>
      </c>
      <c r="G160">
        <v>496</v>
      </c>
    </row>
    <row r="161" spans="1:7" x14ac:dyDescent="0.3">
      <c r="A161" t="s">
        <v>9</v>
      </c>
      <c r="B161">
        <v>1019</v>
      </c>
      <c r="C161">
        <v>718944</v>
      </c>
      <c r="D161">
        <v>31.9</v>
      </c>
      <c r="E161">
        <v>1.01</v>
      </c>
      <c r="F161">
        <v>70180</v>
      </c>
      <c r="G161">
        <v>1171</v>
      </c>
    </row>
    <row r="162" spans="1:7" x14ac:dyDescent="0.3">
      <c r="A162" t="s">
        <v>7</v>
      </c>
      <c r="B162">
        <v>50</v>
      </c>
      <c r="C162">
        <v>6891</v>
      </c>
      <c r="D162">
        <v>7.1</v>
      </c>
      <c r="E162">
        <v>1.17</v>
      </c>
      <c r="F162">
        <v>4260</v>
      </c>
      <c r="G162">
        <v>453</v>
      </c>
    </row>
    <row r="163" spans="1:7" x14ac:dyDescent="0.3">
      <c r="A163" t="s">
        <v>8</v>
      </c>
      <c r="B163">
        <v>439</v>
      </c>
      <c r="C163">
        <v>155891</v>
      </c>
      <c r="D163">
        <v>20.9</v>
      </c>
      <c r="E163">
        <v>1.66</v>
      </c>
      <c r="F163">
        <v>25080</v>
      </c>
      <c r="G163">
        <v>648</v>
      </c>
    </row>
    <row r="164" spans="1:7" x14ac:dyDescent="0.3">
      <c r="A164" t="s">
        <v>9</v>
      </c>
      <c r="B164">
        <v>286</v>
      </c>
      <c r="C164">
        <v>134506</v>
      </c>
      <c r="D164">
        <v>16.899999999999999</v>
      </c>
      <c r="E164">
        <v>2.83</v>
      </c>
      <c r="F164">
        <v>37180</v>
      </c>
      <c r="G164">
        <v>1088</v>
      </c>
    </row>
    <row r="165" spans="1:7" x14ac:dyDescent="0.3">
      <c r="A165" t="s">
        <v>7</v>
      </c>
      <c r="B165">
        <v>96</v>
      </c>
      <c r="C165">
        <v>21674</v>
      </c>
      <c r="D165">
        <v>9.8000000000000007</v>
      </c>
      <c r="E165">
        <v>2.08</v>
      </c>
      <c r="F165">
        <v>5880</v>
      </c>
      <c r="G165">
        <v>789</v>
      </c>
    </row>
    <row r="166" spans="1:7" x14ac:dyDescent="0.3">
      <c r="A166" t="s">
        <v>9</v>
      </c>
      <c r="B166">
        <v>423</v>
      </c>
      <c r="C166">
        <v>150175</v>
      </c>
      <c r="D166">
        <v>20.6</v>
      </c>
      <c r="E166">
        <v>1.91</v>
      </c>
      <c r="F166">
        <v>45320</v>
      </c>
      <c r="G166">
        <v>1123</v>
      </c>
    </row>
    <row r="167" spans="1:7" x14ac:dyDescent="0.3">
      <c r="A167" t="s">
        <v>7</v>
      </c>
      <c r="B167">
        <v>108</v>
      </c>
      <c r="C167">
        <v>18585</v>
      </c>
      <c r="D167">
        <v>10.4</v>
      </c>
      <c r="E167">
        <v>4.1100000000000003</v>
      </c>
      <c r="F167">
        <v>6240</v>
      </c>
      <c r="G167">
        <v>1064</v>
      </c>
    </row>
    <row r="168" spans="1:7" x14ac:dyDescent="0.3">
      <c r="A168" t="s">
        <v>8</v>
      </c>
      <c r="B168">
        <v>48</v>
      </c>
      <c r="C168">
        <v>5444</v>
      </c>
      <c r="D168">
        <v>6.9</v>
      </c>
      <c r="E168">
        <v>1.9</v>
      </c>
      <c r="F168">
        <v>8280</v>
      </c>
      <c r="G168">
        <v>744</v>
      </c>
    </row>
    <row r="169" spans="1:7" x14ac:dyDescent="0.3">
      <c r="A169" t="s">
        <v>8</v>
      </c>
      <c r="B169">
        <v>605</v>
      </c>
      <c r="C169">
        <v>291026</v>
      </c>
      <c r="D169">
        <v>24.5</v>
      </c>
      <c r="E169">
        <v>3.71</v>
      </c>
      <c r="F169">
        <v>29400</v>
      </c>
      <c r="G169">
        <v>1296</v>
      </c>
    </row>
    <row r="170" spans="1:7" x14ac:dyDescent="0.3">
      <c r="A170" t="s">
        <v>9</v>
      </c>
      <c r="B170">
        <v>177</v>
      </c>
      <c r="C170">
        <v>41321</v>
      </c>
      <c r="D170">
        <v>13.3</v>
      </c>
      <c r="E170">
        <v>4.76</v>
      </c>
      <c r="F170">
        <v>29260</v>
      </c>
      <c r="G170">
        <v>753</v>
      </c>
    </row>
    <row r="171" spans="1:7" x14ac:dyDescent="0.3">
      <c r="A171" t="s">
        <v>8</v>
      </c>
      <c r="B171">
        <v>142</v>
      </c>
      <c r="C171">
        <v>29411</v>
      </c>
      <c r="D171">
        <v>11.9</v>
      </c>
      <c r="E171">
        <v>4.41</v>
      </c>
      <c r="F171">
        <v>14280</v>
      </c>
      <c r="G171">
        <v>774</v>
      </c>
    </row>
    <row r="172" spans="1:7" x14ac:dyDescent="0.3">
      <c r="A172" t="s">
        <v>7</v>
      </c>
      <c r="B172">
        <v>45</v>
      </c>
      <c r="C172">
        <v>8445</v>
      </c>
      <c r="D172">
        <v>6.7</v>
      </c>
      <c r="E172">
        <v>1.7</v>
      </c>
      <c r="F172">
        <v>4020</v>
      </c>
      <c r="G172">
        <v>623</v>
      </c>
    </row>
    <row r="173" spans="1:7" x14ac:dyDescent="0.3">
      <c r="A173" t="s">
        <v>8</v>
      </c>
      <c r="B173">
        <v>1644</v>
      </c>
      <c r="C173">
        <v>909311</v>
      </c>
      <c r="D173">
        <v>40.5</v>
      </c>
      <c r="E173">
        <v>2.35</v>
      </c>
      <c r="F173">
        <v>48600</v>
      </c>
      <c r="G173">
        <v>1368</v>
      </c>
    </row>
    <row r="174" spans="1:7" x14ac:dyDescent="0.3">
      <c r="A174" t="s">
        <v>8</v>
      </c>
      <c r="B174">
        <v>599</v>
      </c>
      <c r="C174">
        <v>315410</v>
      </c>
      <c r="D174">
        <v>24.5</v>
      </c>
      <c r="E174">
        <v>1.69</v>
      </c>
      <c r="F174">
        <v>29400</v>
      </c>
      <c r="G174">
        <v>1433</v>
      </c>
    </row>
    <row r="175" spans="1:7" x14ac:dyDescent="0.3">
      <c r="A175" t="s">
        <v>7</v>
      </c>
      <c r="B175">
        <v>158</v>
      </c>
      <c r="C175">
        <v>48425</v>
      </c>
      <c r="D175">
        <v>12.6</v>
      </c>
      <c r="E175">
        <v>1.54</v>
      </c>
      <c r="F175">
        <v>7560</v>
      </c>
      <c r="G175">
        <v>562</v>
      </c>
    </row>
    <row r="176" spans="1:7" x14ac:dyDescent="0.3">
      <c r="A176" t="s">
        <v>7</v>
      </c>
      <c r="B176">
        <v>119</v>
      </c>
      <c r="C176">
        <v>32142</v>
      </c>
      <c r="D176">
        <v>10.9</v>
      </c>
      <c r="E176">
        <v>1.1499999999999999</v>
      </c>
      <c r="F176">
        <v>6540</v>
      </c>
      <c r="G176">
        <v>911</v>
      </c>
    </row>
    <row r="177" spans="1:7" x14ac:dyDescent="0.3">
      <c r="A177" t="s">
        <v>8</v>
      </c>
      <c r="B177">
        <v>180</v>
      </c>
      <c r="C177">
        <v>41161</v>
      </c>
      <c r="D177">
        <v>13.4</v>
      </c>
      <c r="E177">
        <v>1.73</v>
      </c>
      <c r="F177">
        <v>16080</v>
      </c>
      <c r="G177">
        <v>931</v>
      </c>
    </row>
    <row r="178" spans="1:7" x14ac:dyDescent="0.3">
      <c r="A178" t="s">
        <v>7</v>
      </c>
      <c r="B178">
        <v>76</v>
      </c>
      <c r="C178">
        <v>11799</v>
      </c>
      <c r="D178">
        <v>8.6999999999999993</v>
      </c>
      <c r="E178">
        <v>4.41</v>
      </c>
      <c r="F178">
        <v>5220</v>
      </c>
      <c r="G178">
        <v>283</v>
      </c>
    </row>
    <row r="179" spans="1:7" x14ac:dyDescent="0.3">
      <c r="A179" t="s">
        <v>7</v>
      </c>
      <c r="B179">
        <v>20</v>
      </c>
      <c r="C179">
        <v>1654</v>
      </c>
      <c r="D179">
        <v>4.5</v>
      </c>
      <c r="E179">
        <v>2.2400000000000002</v>
      </c>
      <c r="F179">
        <v>2700</v>
      </c>
      <c r="G179">
        <v>672</v>
      </c>
    </row>
    <row r="180" spans="1:7" x14ac:dyDescent="0.3">
      <c r="A180" t="s">
        <v>7</v>
      </c>
      <c r="B180">
        <v>282</v>
      </c>
      <c r="C180">
        <v>70328</v>
      </c>
      <c r="D180">
        <v>16.8</v>
      </c>
      <c r="E180">
        <v>4.8899999999999997</v>
      </c>
      <c r="F180">
        <v>10080</v>
      </c>
      <c r="G180">
        <v>380</v>
      </c>
    </row>
    <row r="181" spans="1:7" x14ac:dyDescent="0.3">
      <c r="A181" t="s">
        <v>7</v>
      </c>
      <c r="B181">
        <v>320</v>
      </c>
      <c r="C181">
        <v>109626</v>
      </c>
      <c r="D181">
        <v>17.8</v>
      </c>
      <c r="E181">
        <v>4.1100000000000003</v>
      </c>
      <c r="F181">
        <v>10680</v>
      </c>
      <c r="G181">
        <v>1137</v>
      </c>
    </row>
    <row r="182" spans="1:7" x14ac:dyDescent="0.3">
      <c r="A182" t="s">
        <v>7</v>
      </c>
      <c r="B182">
        <v>3</v>
      </c>
      <c r="C182">
        <v>151</v>
      </c>
      <c r="D182">
        <v>1.7</v>
      </c>
      <c r="E182">
        <v>4.88</v>
      </c>
      <c r="F182">
        <v>1020</v>
      </c>
      <c r="G182">
        <v>913</v>
      </c>
    </row>
    <row r="183" spans="1:7" x14ac:dyDescent="0.3">
      <c r="A183" t="s">
        <v>7</v>
      </c>
      <c r="B183">
        <v>300</v>
      </c>
      <c r="C183">
        <v>103292</v>
      </c>
      <c r="D183">
        <v>17.3</v>
      </c>
      <c r="E183">
        <v>3.36</v>
      </c>
      <c r="F183">
        <v>10380</v>
      </c>
      <c r="G183">
        <v>946</v>
      </c>
    </row>
    <row r="184" spans="1:7" x14ac:dyDescent="0.3">
      <c r="A184" t="s">
        <v>7</v>
      </c>
      <c r="B184">
        <v>283</v>
      </c>
      <c r="C184">
        <v>114848</v>
      </c>
      <c r="D184">
        <v>16.8</v>
      </c>
      <c r="E184">
        <v>1.7</v>
      </c>
      <c r="F184">
        <v>10080</v>
      </c>
      <c r="G184">
        <v>929</v>
      </c>
    </row>
    <row r="185" spans="1:7" x14ac:dyDescent="0.3">
      <c r="A185" t="s">
        <v>7</v>
      </c>
      <c r="B185">
        <v>135</v>
      </c>
      <c r="C185">
        <v>35585</v>
      </c>
      <c r="D185">
        <v>11.6</v>
      </c>
      <c r="E185">
        <v>3.74</v>
      </c>
      <c r="F185">
        <v>6960</v>
      </c>
      <c r="G185">
        <v>441</v>
      </c>
    </row>
    <row r="186" spans="1:7" x14ac:dyDescent="0.3">
      <c r="A186" t="s">
        <v>8</v>
      </c>
      <c r="B186">
        <v>595</v>
      </c>
      <c r="C186">
        <v>263437</v>
      </c>
      <c r="D186">
        <v>24.4</v>
      </c>
      <c r="E186">
        <v>3.41</v>
      </c>
      <c r="F186">
        <v>29280</v>
      </c>
      <c r="G186">
        <v>1099</v>
      </c>
    </row>
    <row r="187" spans="1:7" x14ac:dyDescent="0.3">
      <c r="A187" t="s">
        <v>8</v>
      </c>
      <c r="B187">
        <v>211</v>
      </c>
      <c r="C187">
        <v>55836</v>
      </c>
      <c r="D187">
        <v>14.5</v>
      </c>
      <c r="E187">
        <v>1.31</v>
      </c>
      <c r="F187">
        <v>17400</v>
      </c>
      <c r="G187">
        <v>359</v>
      </c>
    </row>
    <row r="188" spans="1:7" x14ac:dyDescent="0.3">
      <c r="A188" t="s">
        <v>8</v>
      </c>
      <c r="B188">
        <v>48</v>
      </c>
      <c r="C188">
        <v>7931</v>
      </c>
      <c r="D188">
        <v>6.9</v>
      </c>
      <c r="E188">
        <v>4.88</v>
      </c>
      <c r="F188">
        <v>8280</v>
      </c>
      <c r="G188">
        <v>1086</v>
      </c>
    </row>
    <row r="189" spans="1:7" x14ac:dyDescent="0.3">
      <c r="A189" t="s">
        <v>7</v>
      </c>
      <c r="B189">
        <v>77</v>
      </c>
      <c r="C189">
        <v>12129</v>
      </c>
      <c r="D189">
        <v>8.8000000000000007</v>
      </c>
      <c r="E189">
        <v>1.51</v>
      </c>
      <c r="F189">
        <v>5280</v>
      </c>
      <c r="G189">
        <v>316</v>
      </c>
    </row>
    <row r="190" spans="1:7" x14ac:dyDescent="0.3">
      <c r="A190" t="s">
        <v>9</v>
      </c>
      <c r="B190">
        <v>258</v>
      </c>
      <c r="C190">
        <v>108697</v>
      </c>
      <c r="D190">
        <v>16</v>
      </c>
      <c r="E190">
        <v>3.78</v>
      </c>
      <c r="F190">
        <v>35200</v>
      </c>
      <c r="G190">
        <v>891</v>
      </c>
    </row>
    <row r="191" spans="1:7" x14ac:dyDescent="0.3">
      <c r="A191" t="s">
        <v>8</v>
      </c>
      <c r="B191">
        <v>206</v>
      </c>
      <c r="C191">
        <v>71140</v>
      </c>
      <c r="D191">
        <v>14.4</v>
      </c>
      <c r="E191">
        <v>1.07</v>
      </c>
      <c r="F191">
        <v>17280</v>
      </c>
      <c r="G191">
        <v>810</v>
      </c>
    </row>
    <row r="192" spans="1:7" x14ac:dyDescent="0.3">
      <c r="A192" t="s">
        <v>9</v>
      </c>
      <c r="B192">
        <v>958</v>
      </c>
      <c r="C192">
        <v>582736</v>
      </c>
      <c r="D192">
        <v>31</v>
      </c>
      <c r="E192">
        <v>3.76</v>
      </c>
      <c r="F192">
        <v>68200</v>
      </c>
      <c r="G192">
        <v>1639</v>
      </c>
    </row>
    <row r="193" spans="1:7" x14ac:dyDescent="0.3">
      <c r="A193" t="s">
        <v>8</v>
      </c>
      <c r="B193">
        <v>12</v>
      </c>
      <c r="C193">
        <v>670</v>
      </c>
      <c r="D193">
        <v>3.5</v>
      </c>
      <c r="E193">
        <v>4.18</v>
      </c>
      <c r="F193">
        <v>4200</v>
      </c>
      <c r="G193">
        <v>577</v>
      </c>
    </row>
    <row r="194" spans="1:7" x14ac:dyDescent="0.3">
      <c r="A194" t="s">
        <v>8</v>
      </c>
      <c r="B194">
        <v>349</v>
      </c>
      <c r="C194">
        <v>123760</v>
      </c>
      <c r="D194">
        <v>18.7</v>
      </c>
      <c r="E194">
        <v>1.71</v>
      </c>
      <c r="F194">
        <v>22440</v>
      </c>
      <c r="G194">
        <v>922</v>
      </c>
    </row>
    <row r="195" spans="1:7" x14ac:dyDescent="0.3">
      <c r="A195" t="s">
        <v>9</v>
      </c>
      <c r="B195">
        <v>1219</v>
      </c>
      <c r="C195">
        <v>764393</v>
      </c>
      <c r="D195">
        <v>34.9</v>
      </c>
      <c r="E195">
        <v>2.62</v>
      </c>
      <c r="F195">
        <v>76780</v>
      </c>
      <c r="G195">
        <v>944</v>
      </c>
    </row>
    <row r="196" spans="1:7" x14ac:dyDescent="0.3">
      <c r="A196" t="s">
        <v>8</v>
      </c>
      <c r="B196">
        <v>92</v>
      </c>
      <c r="C196">
        <v>18620</v>
      </c>
      <c r="D196">
        <v>9.6</v>
      </c>
      <c r="E196">
        <v>2.86</v>
      </c>
      <c r="F196">
        <v>11520</v>
      </c>
      <c r="G196">
        <v>827</v>
      </c>
    </row>
    <row r="197" spans="1:7" x14ac:dyDescent="0.3">
      <c r="A197" t="s">
        <v>9</v>
      </c>
      <c r="B197">
        <v>1370</v>
      </c>
      <c r="C197">
        <v>1062117</v>
      </c>
      <c r="D197">
        <v>36.9</v>
      </c>
      <c r="E197">
        <v>1.81</v>
      </c>
      <c r="F197">
        <v>81180</v>
      </c>
      <c r="G197">
        <v>1162</v>
      </c>
    </row>
    <row r="198" spans="1:7" x14ac:dyDescent="0.3">
      <c r="A198" t="s">
        <v>8</v>
      </c>
      <c r="B198">
        <v>612</v>
      </c>
      <c r="C198">
        <v>396083</v>
      </c>
      <c r="D198">
        <v>24.8</v>
      </c>
      <c r="E198">
        <v>3.02</v>
      </c>
      <c r="F198">
        <v>29760</v>
      </c>
      <c r="G198">
        <v>1007</v>
      </c>
    </row>
    <row r="199" spans="1:7" x14ac:dyDescent="0.3">
      <c r="A199" t="s">
        <v>8</v>
      </c>
      <c r="B199">
        <v>62</v>
      </c>
      <c r="C199">
        <v>13001</v>
      </c>
      <c r="D199">
        <v>7.9</v>
      </c>
      <c r="E199">
        <v>1.82</v>
      </c>
      <c r="F199">
        <v>9480</v>
      </c>
      <c r="G199">
        <v>723</v>
      </c>
    </row>
    <row r="200" spans="1:7" x14ac:dyDescent="0.3">
      <c r="A200" t="s">
        <v>7</v>
      </c>
      <c r="B200">
        <v>211</v>
      </c>
      <c r="C200">
        <v>40535</v>
      </c>
      <c r="D200">
        <v>14.5</v>
      </c>
      <c r="E200">
        <v>1.42</v>
      </c>
      <c r="F200">
        <v>8700</v>
      </c>
      <c r="G200">
        <v>356</v>
      </c>
    </row>
    <row r="201" spans="1:7" x14ac:dyDescent="0.3">
      <c r="A201" t="s">
        <v>7</v>
      </c>
      <c r="B201">
        <v>253</v>
      </c>
      <c r="C201">
        <v>77497</v>
      </c>
      <c r="D201">
        <v>15.9</v>
      </c>
      <c r="E201">
        <v>1.6</v>
      </c>
      <c r="F201">
        <v>9540</v>
      </c>
      <c r="G201">
        <v>886</v>
      </c>
    </row>
    <row r="202" spans="1:7" x14ac:dyDescent="0.3">
      <c r="A202" t="s">
        <v>7</v>
      </c>
      <c r="B202">
        <v>60</v>
      </c>
      <c r="C202">
        <v>7628</v>
      </c>
      <c r="D202">
        <v>7.8</v>
      </c>
      <c r="E202">
        <v>1.29</v>
      </c>
      <c r="F202">
        <v>4680</v>
      </c>
      <c r="G202">
        <v>727</v>
      </c>
    </row>
    <row r="203" spans="1:7" x14ac:dyDescent="0.3">
      <c r="A203" t="s">
        <v>9</v>
      </c>
      <c r="B203">
        <v>425</v>
      </c>
      <c r="C203">
        <v>143051</v>
      </c>
      <c r="D203">
        <v>20.7</v>
      </c>
      <c r="E203">
        <v>4.28</v>
      </c>
      <c r="F203">
        <v>45540</v>
      </c>
      <c r="G203">
        <v>851</v>
      </c>
    </row>
    <row r="204" spans="1:7" x14ac:dyDescent="0.3">
      <c r="A204" t="s">
        <v>9</v>
      </c>
      <c r="B204">
        <v>2962</v>
      </c>
      <c r="C204">
        <v>2873278</v>
      </c>
      <c r="D204">
        <v>54.5</v>
      </c>
      <c r="E204">
        <v>4.74</v>
      </c>
      <c r="F204">
        <v>119900</v>
      </c>
      <c r="G204">
        <v>1629</v>
      </c>
    </row>
    <row r="205" spans="1:7" x14ac:dyDescent="0.3">
      <c r="A205" t="s">
        <v>7</v>
      </c>
      <c r="B205">
        <v>263</v>
      </c>
      <c r="C205">
        <v>90758</v>
      </c>
      <c r="D205">
        <v>16.2</v>
      </c>
      <c r="E205">
        <v>4.8099999999999996</v>
      </c>
      <c r="F205">
        <v>9720</v>
      </c>
      <c r="G205">
        <v>335</v>
      </c>
    </row>
    <row r="206" spans="1:7" x14ac:dyDescent="0.3">
      <c r="A206" t="s">
        <v>9</v>
      </c>
      <c r="B206">
        <v>1491</v>
      </c>
      <c r="C206">
        <v>1108083</v>
      </c>
      <c r="D206">
        <v>38.6</v>
      </c>
      <c r="E206">
        <v>2.86</v>
      </c>
      <c r="F206">
        <v>84920</v>
      </c>
      <c r="G206">
        <v>1139</v>
      </c>
    </row>
    <row r="207" spans="1:7" x14ac:dyDescent="0.3">
      <c r="A207" t="s">
        <v>7</v>
      </c>
      <c r="B207">
        <v>13</v>
      </c>
      <c r="C207">
        <v>888</v>
      </c>
      <c r="D207">
        <v>3.6</v>
      </c>
      <c r="E207">
        <v>1.42</v>
      </c>
      <c r="F207">
        <v>2160</v>
      </c>
      <c r="G207">
        <v>384</v>
      </c>
    </row>
    <row r="208" spans="1:7" x14ac:dyDescent="0.3">
      <c r="A208" t="s">
        <v>7</v>
      </c>
      <c r="B208">
        <v>145</v>
      </c>
      <c r="C208">
        <v>36037</v>
      </c>
      <c r="D208">
        <v>12</v>
      </c>
      <c r="E208">
        <v>3.87</v>
      </c>
      <c r="F208">
        <v>7200</v>
      </c>
      <c r="G208">
        <v>961</v>
      </c>
    </row>
    <row r="209" spans="1:7" x14ac:dyDescent="0.3">
      <c r="A209" t="s">
        <v>9</v>
      </c>
      <c r="B209">
        <v>1437</v>
      </c>
      <c r="C209">
        <v>1208875</v>
      </c>
      <c r="D209">
        <v>37.799999999999997</v>
      </c>
      <c r="E209">
        <v>2.64</v>
      </c>
      <c r="F209">
        <v>83160</v>
      </c>
      <c r="G209">
        <v>1306</v>
      </c>
    </row>
    <row r="210" spans="1:7" x14ac:dyDescent="0.3">
      <c r="A210" t="s">
        <v>7</v>
      </c>
      <c r="B210">
        <v>3</v>
      </c>
      <c r="C210">
        <v>79</v>
      </c>
      <c r="D210">
        <v>1.7</v>
      </c>
      <c r="E210">
        <v>1.79</v>
      </c>
      <c r="F210">
        <v>1020</v>
      </c>
      <c r="G210">
        <v>967</v>
      </c>
    </row>
    <row r="211" spans="1:7" x14ac:dyDescent="0.3">
      <c r="A211" t="s">
        <v>9</v>
      </c>
      <c r="B211">
        <v>1454</v>
      </c>
      <c r="C211">
        <v>1026686</v>
      </c>
      <c r="D211">
        <v>38.200000000000003</v>
      </c>
      <c r="E211">
        <v>4.1900000000000004</v>
      </c>
      <c r="F211">
        <v>84040</v>
      </c>
      <c r="G211">
        <v>1200</v>
      </c>
    </row>
    <row r="212" spans="1:7" x14ac:dyDescent="0.3">
      <c r="A212" t="s">
        <v>7</v>
      </c>
      <c r="B212">
        <v>112</v>
      </c>
      <c r="C212">
        <v>21436</v>
      </c>
      <c r="D212">
        <v>10.7</v>
      </c>
      <c r="E212">
        <v>2.92</v>
      </c>
      <c r="F212">
        <v>6420</v>
      </c>
      <c r="G212">
        <v>920</v>
      </c>
    </row>
    <row r="213" spans="1:7" x14ac:dyDescent="0.3">
      <c r="A213" t="s">
        <v>7</v>
      </c>
      <c r="B213">
        <v>132</v>
      </c>
      <c r="C213">
        <v>34249</v>
      </c>
      <c r="D213">
        <v>11.5</v>
      </c>
      <c r="E213">
        <v>1.85</v>
      </c>
      <c r="F213">
        <v>6900</v>
      </c>
      <c r="G213">
        <v>894</v>
      </c>
    </row>
    <row r="214" spans="1:7" x14ac:dyDescent="0.3">
      <c r="A214" t="s">
        <v>9</v>
      </c>
      <c r="B214">
        <v>5</v>
      </c>
      <c r="C214">
        <v>172</v>
      </c>
      <c r="D214">
        <v>2.2000000000000002</v>
      </c>
      <c r="E214">
        <v>4.25</v>
      </c>
      <c r="F214">
        <v>4840</v>
      </c>
      <c r="G214">
        <v>496</v>
      </c>
    </row>
    <row r="215" spans="1:7" x14ac:dyDescent="0.3">
      <c r="A215" t="s">
        <v>8</v>
      </c>
      <c r="B215">
        <v>398</v>
      </c>
      <c r="C215">
        <v>180886</v>
      </c>
      <c r="D215">
        <v>19.899999999999999</v>
      </c>
      <c r="E215">
        <v>4.26</v>
      </c>
      <c r="F215">
        <v>23880</v>
      </c>
      <c r="G215">
        <v>975</v>
      </c>
    </row>
    <row r="216" spans="1:7" x14ac:dyDescent="0.3">
      <c r="A216" t="s">
        <v>7</v>
      </c>
      <c r="B216">
        <v>121</v>
      </c>
      <c r="C216">
        <v>25482</v>
      </c>
      <c r="D216">
        <v>11</v>
      </c>
      <c r="E216">
        <v>3.98</v>
      </c>
      <c r="F216">
        <v>6600</v>
      </c>
      <c r="G216">
        <v>946</v>
      </c>
    </row>
    <row r="217" spans="1:7" x14ac:dyDescent="0.3">
      <c r="A217" t="s">
        <v>8</v>
      </c>
      <c r="B217">
        <v>86</v>
      </c>
      <c r="C217">
        <v>16153</v>
      </c>
      <c r="D217">
        <v>9.3000000000000007</v>
      </c>
      <c r="E217">
        <v>4.32</v>
      </c>
      <c r="F217">
        <v>11160</v>
      </c>
      <c r="G217">
        <v>499</v>
      </c>
    </row>
    <row r="218" spans="1:7" x14ac:dyDescent="0.3">
      <c r="A218" t="s">
        <v>7</v>
      </c>
      <c r="B218">
        <v>269</v>
      </c>
      <c r="C218">
        <v>102018</v>
      </c>
      <c r="D218">
        <v>16.399999999999999</v>
      </c>
      <c r="E218">
        <v>4.2300000000000004</v>
      </c>
      <c r="F218">
        <v>9840</v>
      </c>
      <c r="G218">
        <v>846</v>
      </c>
    </row>
    <row r="219" spans="1:7" x14ac:dyDescent="0.3">
      <c r="A219" t="s">
        <v>7</v>
      </c>
      <c r="B219">
        <v>111</v>
      </c>
      <c r="C219">
        <v>23473</v>
      </c>
      <c r="D219">
        <v>10.5</v>
      </c>
      <c r="E219">
        <v>3.71</v>
      </c>
      <c r="F219">
        <v>6300</v>
      </c>
      <c r="G219">
        <v>879</v>
      </c>
    </row>
    <row r="220" spans="1:7" x14ac:dyDescent="0.3">
      <c r="A220" t="s">
        <v>8</v>
      </c>
      <c r="B220">
        <v>269</v>
      </c>
      <c r="C220">
        <v>108451</v>
      </c>
      <c r="D220">
        <v>16.399999999999999</v>
      </c>
      <c r="E220">
        <v>3.99</v>
      </c>
      <c r="F220">
        <v>19680</v>
      </c>
      <c r="G220">
        <v>879</v>
      </c>
    </row>
    <row r="221" spans="1:7" x14ac:dyDescent="0.3">
      <c r="A221" t="s">
        <v>7</v>
      </c>
      <c r="B221">
        <v>180</v>
      </c>
      <c r="C221">
        <v>47458</v>
      </c>
      <c r="D221">
        <v>13.4</v>
      </c>
      <c r="E221">
        <v>4.82</v>
      </c>
      <c r="F221">
        <v>8040</v>
      </c>
      <c r="G221">
        <v>661</v>
      </c>
    </row>
    <row r="222" spans="1:7" x14ac:dyDescent="0.3">
      <c r="A222" t="s">
        <v>7</v>
      </c>
      <c r="B222">
        <v>184</v>
      </c>
      <c r="C222">
        <v>55166</v>
      </c>
      <c r="D222">
        <v>13.6</v>
      </c>
      <c r="E222">
        <v>2.99</v>
      </c>
      <c r="F222">
        <v>8160</v>
      </c>
      <c r="G222">
        <v>909</v>
      </c>
    </row>
    <row r="223" spans="1:7" x14ac:dyDescent="0.3">
      <c r="A223" t="s">
        <v>8</v>
      </c>
      <c r="B223">
        <v>546</v>
      </c>
      <c r="C223">
        <v>222573</v>
      </c>
      <c r="D223">
        <v>23.3</v>
      </c>
      <c r="E223">
        <v>4.25</v>
      </c>
      <c r="F223">
        <v>27960</v>
      </c>
      <c r="G223">
        <v>1194</v>
      </c>
    </row>
    <row r="224" spans="1:7" x14ac:dyDescent="0.3">
      <c r="A224" t="s">
        <v>7</v>
      </c>
      <c r="B224">
        <v>906</v>
      </c>
      <c r="C224">
        <v>492068</v>
      </c>
      <c r="D224">
        <v>30</v>
      </c>
      <c r="E224">
        <v>4.21</v>
      </c>
      <c r="F224">
        <v>18000</v>
      </c>
      <c r="G224">
        <v>1440</v>
      </c>
    </row>
    <row r="225" spans="1:7" x14ac:dyDescent="0.3">
      <c r="A225" t="s">
        <v>8</v>
      </c>
      <c r="B225">
        <v>1121</v>
      </c>
      <c r="C225">
        <v>565235</v>
      </c>
      <c r="D225">
        <v>33.4</v>
      </c>
      <c r="E225">
        <v>1.69</v>
      </c>
      <c r="F225">
        <v>40080</v>
      </c>
      <c r="G225">
        <v>717</v>
      </c>
    </row>
    <row r="226" spans="1:7" x14ac:dyDescent="0.3">
      <c r="A226" t="s">
        <v>7</v>
      </c>
      <c r="B226">
        <v>190</v>
      </c>
      <c r="C226">
        <v>52937</v>
      </c>
      <c r="D226">
        <v>13.8</v>
      </c>
      <c r="E226">
        <v>2.62</v>
      </c>
      <c r="F226">
        <v>8280</v>
      </c>
      <c r="G226">
        <v>1066</v>
      </c>
    </row>
    <row r="227" spans="1:7" x14ac:dyDescent="0.3">
      <c r="A227" t="s">
        <v>7</v>
      </c>
      <c r="B227">
        <v>6</v>
      </c>
      <c r="C227">
        <v>318</v>
      </c>
      <c r="D227">
        <v>2.5</v>
      </c>
      <c r="E227">
        <v>1.63</v>
      </c>
      <c r="F227">
        <v>1500</v>
      </c>
      <c r="G227">
        <v>278</v>
      </c>
    </row>
    <row r="228" spans="1:7" x14ac:dyDescent="0.3">
      <c r="A228" t="s">
        <v>9</v>
      </c>
      <c r="B228">
        <v>591</v>
      </c>
      <c r="C228">
        <v>272999</v>
      </c>
      <c r="D228">
        <v>24.3</v>
      </c>
      <c r="E228">
        <v>3.13</v>
      </c>
      <c r="F228">
        <v>53460</v>
      </c>
      <c r="G228">
        <v>806</v>
      </c>
    </row>
    <row r="229" spans="1:7" x14ac:dyDescent="0.3">
      <c r="A229" t="s">
        <v>9</v>
      </c>
      <c r="B229">
        <v>1172</v>
      </c>
      <c r="C229">
        <v>697701</v>
      </c>
      <c r="D229">
        <v>34.200000000000003</v>
      </c>
      <c r="E229">
        <v>4.66</v>
      </c>
      <c r="F229">
        <v>75240</v>
      </c>
      <c r="G229">
        <v>1197</v>
      </c>
    </row>
    <row r="230" spans="1:7" x14ac:dyDescent="0.3">
      <c r="A230" t="s">
        <v>7</v>
      </c>
      <c r="B230">
        <v>881</v>
      </c>
      <c r="C230">
        <v>473137</v>
      </c>
      <c r="D230">
        <v>29.6</v>
      </c>
      <c r="E230">
        <v>3.84</v>
      </c>
      <c r="F230">
        <v>17760</v>
      </c>
      <c r="G230">
        <v>1129</v>
      </c>
    </row>
    <row r="231" spans="1:7" x14ac:dyDescent="0.3">
      <c r="A231" t="s">
        <v>8</v>
      </c>
      <c r="B231">
        <v>230</v>
      </c>
      <c r="C231">
        <v>69009</v>
      </c>
      <c r="D231">
        <v>15.2</v>
      </c>
      <c r="E231">
        <v>3.44</v>
      </c>
      <c r="F231">
        <v>18240</v>
      </c>
      <c r="G231">
        <v>764</v>
      </c>
    </row>
    <row r="232" spans="1:7" x14ac:dyDescent="0.3">
      <c r="A232" t="s">
        <v>7</v>
      </c>
      <c r="B232">
        <v>76</v>
      </c>
      <c r="C232">
        <v>14141</v>
      </c>
      <c r="D232">
        <v>8.6999999999999993</v>
      </c>
      <c r="E232">
        <v>3.08</v>
      </c>
      <c r="F232">
        <v>5220</v>
      </c>
      <c r="G232">
        <v>807</v>
      </c>
    </row>
    <row r="233" spans="1:7" x14ac:dyDescent="0.3">
      <c r="A233" t="s">
        <v>9</v>
      </c>
      <c r="B233">
        <v>926</v>
      </c>
      <c r="C233">
        <v>527752</v>
      </c>
      <c r="D233">
        <v>30.4</v>
      </c>
      <c r="E233">
        <v>2.63</v>
      </c>
      <c r="F233">
        <v>66880</v>
      </c>
      <c r="G233">
        <v>1208</v>
      </c>
    </row>
    <row r="234" spans="1:7" x14ac:dyDescent="0.3">
      <c r="A234" t="s">
        <v>9</v>
      </c>
      <c r="B234">
        <v>2691</v>
      </c>
      <c r="C234">
        <v>2093088</v>
      </c>
      <c r="D234">
        <v>51.9</v>
      </c>
      <c r="E234">
        <v>4.93</v>
      </c>
      <c r="F234">
        <v>114180</v>
      </c>
      <c r="G234">
        <v>1332</v>
      </c>
    </row>
    <row r="235" spans="1:7" x14ac:dyDescent="0.3">
      <c r="A235" t="s">
        <v>7</v>
      </c>
      <c r="B235">
        <v>15</v>
      </c>
      <c r="C235">
        <v>1096</v>
      </c>
      <c r="D235">
        <v>3.9</v>
      </c>
      <c r="E235">
        <v>4.12</v>
      </c>
      <c r="F235">
        <v>2340</v>
      </c>
      <c r="G235">
        <v>391</v>
      </c>
    </row>
    <row r="236" spans="1:7" x14ac:dyDescent="0.3">
      <c r="A236" t="s">
        <v>7</v>
      </c>
      <c r="B236">
        <v>244</v>
      </c>
      <c r="C236">
        <v>82487</v>
      </c>
      <c r="D236">
        <v>15.6</v>
      </c>
      <c r="E236">
        <v>1.6</v>
      </c>
      <c r="F236">
        <v>9360</v>
      </c>
      <c r="G236">
        <v>914</v>
      </c>
    </row>
    <row r="237" spans="1:7" x14ac:dyDescent="0.3">
      <c r="A237" t="s">
        <v>7</v>
      </c>
      <c r="B237">
        <v>12</v>
      </c>
      <c r="C237">
        <v>758</v>
      </c>
      <c r="D237">
        <v>3.5</v>
      </c>
      <c r="E237">
        <v>1.58</v>
      </c>
      <c r="F237">
        <v>2100</v>
      </c>
      <c r="G237">
        <v>733</v>
      </c>
    </row>
    <row r="238" spans="1:7" x14ac:dyDescent="0.3">
      <c r="A238" t="s">
        <v>8</v>
      </c>
      <c r="B238">
        <v>707</v>
      </c>
      <c r="C238">
        <v>313723</v>
      </c>
      <c r="D238">
        <v>26.6</v>
      </c>
      <c r="E238">
        <v>3.98</v>
      </c>
      <c r="F238">
        <v>31920</v>
      </c>
      <c r="G238">
        <v>991</v>
      </c>
    </row>
    <row r="239" spans="1:7" x14ac:dyDescent="0.3">
      <c r="A239" t="s">
        <v>8</v>
      </c>
      <c r="B239">
        <v>140</v>
      </c>
      <c r="C239">
        <v>34362</v>
      </c>
      <c r="D239">
        <v>11.8</v>
      </c>
      <c r="E239">
        <v>4.32</v>
      </c>
      <c r="F239">
        <v>14160</v>
      </c>
      <c r="G239">
        <v>389</v>
      </c>
    </row>
    <row r="240" spans="1:7" x14ac:dyDescent="0.3">
      <c r="A240" t="s">
        <v>7</v>
      </c>
      <c r="B240">
        <v>76</v>
      </c>
      <c r="C240">
        <v>10487</v>
      </c>
      <c r="D240">
        <v>8.6999999999999993</v>
      </c>
      <c r="E240">
        <v>1.18</v>
      </c>
      <c r="F240">
        <v>5220</v>
      </c>
      <c r="G240">
        <v>933</v>
      </c>
    </row>
    <row r="241" spans="1:7" x14ac:dyDescent="0.3">
      <c r="A241" t="s">
        <v>8</v>
      </c>
      <c r="B241">
        <v>19</v>
      </c>
      <c r="C241">
        <v>1826</v>
      </c>
      <c r="D241">
        <v>4.3</v>
      </c>
      <c r="E241">
        <v>2.21</v>
      </c>
      <c r="F241">
        <v>5160</v>
      </c>
      <c r="G241">
        <v>1034</v>
      </c>
    </row>
    <row r="242" spans="1:7" x14ac:dyDescent="0.3">
      <c r="A242" t="s">
        <v>9</v>
      </c>
      <c r="B242">
        <v>112</v>
      </c>
      <c r="C242">
        <v>15167</v>
      </c>
      <c r="D242">
        <v>10.6</v>
      </c>
      <c r="E242">
        <v>2.74</v>
      </c>
      <c r="F242">
        <v>23320</v>
      </c>
      <c r="G242">
        <v>895</v>
      </c>
    </row>
    <row r="243" spans="1:7" x14ac:dyDescent="0.3">
      <c r="A243" t="s">
        <v>7</v>
      </c>
      <c r="B243">
        <v>162</v>
      </c>
      <c r="C243">
        <v>45684</v>
      </c>
      <c r="D243">
        <v>12.7</v>
      </c>
      <c r="E243">
        <v>4.76</v>
      </c>
      <c r="F243">
        <v>7620</v>
      </c>
      <c r="G243">
        <v>1157</v>
      </c>
    </row>
    <row r="244" spans="1:7" x14ac:dyDescent="0.3">
      <c r="A244" t="s">
        <v>7</v>
      </c>
      <c r="B244">
        <v>262</v>
      </c>
      <c r="C244">
        <v>73475</v>
      </c>
      <c r="D244">
        <v>16.2</v>
      </c>
      <c r="E244">
        <v>2.7</v>
      </c>
      <c r="F244">
        <v>9720</v>
      </c>
      <c r="G244">
        <v>816</v>
      </c>
    </row>
    <row r="245" spans="1:7" x14ac:dyDescent="0.3">
      <c r="A245" t="s">
        <v>9</v>
      </c>
      <c r="B245">
        <v>21</v>
      </c>
      <c r="C245">
        <v>1578</v>
      </c>
      <c r="D245">
        <v>4.5999999999999996</v>
      </c>
      <c r="E245">
        <v>3.47</v>
      </c>
      <c r="F245">
        <v>10120</v>
      </c>
      <c r="G245">
        <v>290</v>
      </c>
    </row>
    <row r="246" spans="1:7" x14ac:dyDescent="0.3">
      <c r="A246" t="s">
        <v>7</v>
      </c>
      <c r="B246">
        <v>196</v>
      </c>
      <c r="C246">
        <v>70521</v>
      </c>
      <c r="D246">
        <v>14</v>
      </c>
      <c r="E246">
        <v>1.64</v>
      </c>
      <c r="F246">
        <v>8400</v>
      </c>
      <c r="G246">
        <v>1083</v>
      </c>
    </row>
    <row r="247" spans="1:7" x14ac:dyDescent="0.3">
      <c r="A247" t="s">
        <v>8</v>
      </c>
      <c r="B247">
        <v>31</v>
      </c>
      <c r="C247">
        <v>3260</v>
      </c>
      <c r="D247">
        <v>5.6</v>
      </c>
      <c r="E247">
        <v>3</v>
      </c>
      <c r="F247">
        <v>6720</v>
      </c>
      <c r="G247">
        <v>883</v>
      </c>
    </row>
    <row r="248" spans="1:7" x14ac:dyDescent="0.3">
      <c r="A248" t="s">
        <v>8</v>
      </c>
      <c r="B248">
        <v>58</v>
      </c>
      <c r="C248">
        <v>10468</v>
      </c>
      <c r="D248">
        <v>7.6</v>
      </c>
      <c r="E248">
        <v>2.59</v>
      </c>
      <c r="F248">
        <v>9120</v>
      </c>
      <c r="G248">
        <v>819</v>
      </c>
    </row>
    <row r="249" spans="1:7" x14ac:dyDescent="0.3">
      <c r="A249" t="s">
        <v>8</v>
      </c>
      <c r="B249">
        <v>166</v>
      </c>
      <c r="C249">
        <v>49721</v>
      </c>
      <c r="D249">
        <v>12.9</v>
      </c>
      <c r="E249">
        <v>1.2</v>
      </c>
      <c r="F249">
        <v>15480</v>
      </c>
      <c r="G249">
        <v>562</v>
      </c>
    </row>
    <row r="250" spans="1:7" x14ac:dyDescent="0.3">
      <c r="A250" t="s">
        <v>7</v>
      </c>
      <c r="B250">
        <v>232</v>
      </c>
      <c r="C250">
        <v>83395</v>
      </c>
      <c r="D250">
        <v>15.2</v>
      </c>
      <c r="E250">
        <v>3.42</v>
      </c>
      <c r="F250">
        <v>9120</v>
      </c>
      <c r="G250">
        <v>875</v>
      </c>
    </row>
    <row r="251" spans="1:7" x14ac:dyDescent="0.3">
      <c r="A251" t="s">
        <v>7</v>
      </c>
      <c r="B251">
        <v>250</v>
      </c>
      <c r="C251">
        <v>111918</v>
      </c>
      <c r="D251">
        <v>15.8</v>
      </c>
      <c r="E251">
        <v>1.62</v>
      </c>
      <c r="F251">
        <v>9480</v>
      </c>
      <c r="G251">
        <v>858</v>
      </c>
    </row>
    <row r="252" spans="1:7" x14ac:dyDescent="0.3">
      <c r="A252" t="s">
        <v>8</v>
      </c>
      <c r="B252">
        <v>221</v>
      </c>
      <c r="C252">
        <v>68419</v>
      </c>
      <c r="D252">
        <v>14.8</v>
      </c>
      <c r="E252">
        <v>2.74</v>
      </c>
      <c r="F252">
        <v>17760</v>
      </c>
      <c r="G252">
        <v>1231</v>
      </c>
    </row>
    <row r="253" spans="1:7" x14ac:dyDescent="0.3">
      <c r="A253" t="s">
        <v>9</v>
      </c>
      <c r="B253">
        <v>1571</v>
      </c>
      <c r="C253">
        <v>1549315</v>
      </c>
      <c r="D253">
        <v>39.6</v>
      </c>
      <c r="E253">
        <v>1.49</v>
      </c>
      <c r="F253">
        <v>87120</v>
      </c>
      <c r="G253">
        <v>1441</v>
      </c>
    </row>
    <row r="254" spans="1:7" x14ac:dyDescent="0.3">
      <c r="A254" t="s">
        <v>7</v>
      </c>
      <c r="B254">
        <v>140</v>
      </c>
      <c r="C254">
        <v>30116</v>
      </c>
      <c r="D254">
        <v>11.9</v>
      </c>
      <c r="E254">
        <v>3.13</v>
      </c>
      <c r="F254">
        <v>7140</v>
      </c>
      <c r="G254">
        <v>700</v>
      </c>
    </row>
    <row r="255" spans="1:7" x14ac:dyDescent="0.3">
      <c r="A255" t="s">
        <v>7</v>
      </c>
      <c r="B255">
        <v>33</v>
      </c>
      <c r="C255">
        <v>3351</v>
      </c>
      <c r="D255">
        <v>5.7</v>
      </c>
      <c r="E255">
        <v>3.68</v>
      </c>
      <c r="F255">
        <v>3420</v>
      </c>
      <c r="G255">
        <v>122</v>
      </c>
    </row>
    <row r="256" spans="1:7" x14ac:dyDescent="0.3">
      <c r="A256" t="s">
        <v>8</v>
      </c>
      <c r="B256">
        <v>274</v>
      </c>
      <c r="C256">
        <v>93875</v>
      </c>
      <c r="D256">
        <v>16.600000000000001</v>
      </c>
      <c r="E256">
        <v>2.84</v>
      </c>
      <c r="F256">
        <v>19920</v>
      </c>
      <c r="G256">
        <v>1095</v>
      </c>
    </row>
    <row r="257" spans="1:7" x14ac:dyDescent="0.3">
      <c r="A257" t="s">
        <v>7</v>
      </c>
      <c r="B257">
        <v>338</v>
      </c>
      <c r="C257">
        <v>160521</v>
      </c>
      <c r="D257">
        <v>18.399999999999999</v>
      </c>
      <c r="E257">
        <v>2.25</v>
      </c>
      <c r="F257">
        <v>11040</v>
      </c>
      <c r="G257">
        <v>706</v>
      </c>
    </row>
    <row r="258" spans="1:7" x14ac:dyDescent="0.3">
      <c r="A258" t="s">
        <v>9</v>
      </c>
      <c r="B258">
        <v>660</v>
      </c>
      <c r="C258">
        <v>385976</v>
      </c>
      <c r="D258">
        <v>25.7</v>
      </c>
      <c r="E258">
        <v>3.44</v>
      </c>
      <c r="F258">
        <v>56540</v>
      </c>
      <c r="G258">
        <v>933</v>
      </c>
    </row>
    <row r="259" spans="1:7" x14ac:dyDescent="0.3">
      <c r="A259" t="s">
        <v>7</v>
      </c>
      <c r="B259">
        <v>534</v>
      </c>
      <c r="C259">
        <v>220602</v>
      </c>
      <c r="D259">
        <v>23.1</v>
      </c>
      <c r="E259">
        <v>2.2999999999999998</v>
      </c>
      <c r="F259">
        <v>13860</v>
      </c>
      <c r="G259">
        <v>1446</v>
      </c>
    </row>
    <row r="260" spans="1:7" x14ac:dyDescent="0.3">
      <c r="A260" t="s">
        <v>7</v>
      </c>
      <c r="B260">
        <v>393</v>
      </c>
      <c r="C260">
        <v>260751</v>
      </c>
      <c r="D260">
        <v>19.8</v>
      </c>
      <c r="E260">
        <v>4.4800000000000004</v>
      </c>
      <c r="F260">
        <v>11880</v>
      </c>
      <c r="G260">
        <v>991</v>
      </c>
    </row>
    <row r="261" spans="1:7" x14ac:dyDescent="0.3">
      <c r="A261" t="s">
        <v>8</v>
      </c>
      <c r="B261">
        <v>330</v>
      </c>
      <c r="C261">
        <v>129503</v>
      </c>
      <c r="D261">
        <v>18.2</v>
      </c>
      <c r="E261">
        <v>2.09</v>
      </c>
      <c r="F261">
        <v>21840</v>
      </c>
      <c r="G261">
        <v>983</v>
      </c>
    </row>
    <row r="262" spans="1:7" x14ac:dyDescent="0.3">
      <c r="A262" t="s">
        <v>8</v>
      </c>
      <c r="B262">
        <v>1278</v>
      </c>
      <c r="C262">
        <v>1041766</v>
      </c>
      <c r="D262">
        <v>35.799999999999997</v>
      </c>
      <c r="E262">
        <v>2.68</v>
      </c>
      <c r="F262">
        <v>42960</v>
      </c>
      <c r="G262">
        <v>1003</v>
      </c>
    </row>
    <row r="263" spans="1:7" x14ac:dyDescent="0.3">
      <c r="A263" t="s">
        <v>8</v>
      </c>
      <c r="B263">
        <v>204</v>
      </c>
      <c r="C263">
        <v>61286</v>
      </c>
      <c r="D263">
        <v>14.2</v>
      </c>
      <c r="E263">
        <v>3.98</v>
      </c>
      <c r="F263">
        <v>17040</v>
      </c>
      <c r="G263">
        <v>806</v>
      </c>
    </row>
    <row r="264" spans="1:7" x14ac:dyDescent="0.3">
      <c r="A264" t="s">
        <v>8</v>
      </c>
      <c r="B264">
        <v>600</v>
      </c>
      <c r="C264">
        <v>208991</v>
      </c>
      <c r="D264">
        <v>24.5</v>
      </c>
      <c r="E264">
        <v>2.4500000000000002</v>
      </c>
      <c r="F264">
        <v>29400</v>
      </c>
      <c r="G264">
        <v>922</v>
      </c>
    </row>
    <row r="265" spans="1:7" x14ac:dyDescent="0.3">
      <c r="A265" t="s">
        <v>8</v>
      </c>
      <c r="B265">
        <v>188</v>
      </c>
      <c r="C265">
        <v>69834</v>
      </c>
      <c r="D265">
        <v>13.7</v>
      </c>
      <c r="E265">
        <v>2.72</v>
      </c>
      <c r="F265">
        <v>16440</v>
      </c>
      <c r="G265">
        <v>1077</v>
      </c>
    </row>
    <row r="266" spans="1:7" x14ac:dyDescent="0.3">
      <c r="A266" t="s">
        <v>8</v>
      </c>
      <c r="B266">
        <v>117</v>
      </c>
      <c r="C266">
        <v>22707</v>
      </c>
      <c r="D266">
        <v>10.8</v>
      </c>
      <c r="E266">
        <v>2.97</v>
      </c>
      <c r="F266">
        <v>12960</v>
      </c>
      <c r="G266">
        <v>906</v>
      </c>
    </row>
    <row r="267" spans="1:7" x14ac:dyDescent="0.3">
      <c r="A267" t="s">
        <v>9</v>
      </c>
      <c r="B267">
        <v>598</v>
      </c>
      <c r="C267">
        <v>237152</v>
      </c>
      <c r="D267">
        <v>24.4</v>
      </c>
      <c r="E267">
        <v>4.42</v>
      </c>
      <c r="F267">
        <v>53680</v>
      </c>
      <c r="G267">
        <v>989</v>
      </c>
    </row>
    <row r="268" spans="1:7" x14ac:dyDescent="0.3">
      <c r="A268" t="s">
        <v>7</v>
      </c>
      <c r="B268">
        <v>165</v>
      </c>
      <c r="C268">
        <v>53219</v>
      </c>
      <c r="D268">
        <v>12.8</v>
      </c>
      <c r="E268">
        <v>3.66</v>
      </c>
      <c r="F268">
        <v>7680</v>
      </c>
      <c r="G268">
        <v>767</v>
      </c>
    </row>
    <row r="269" spans="1:7" x14ac:dyDescent="0.3">
      <c r="A269" t="s">
        <v>9</v>
      </c>
      <c r="B269">
        <v>197</v>
      </c>
      <c r="C269">
        <v>58685</v>
      </c>
      <c r="D269">
        <v>14</v>
      </c>
      <c r="E269">
        <v>1.97</v>
      </c>
      <c r="F269">
        <v>30800</v>
      </c>
      <c r="G269">
        <v>779</v>
      </c>
    </row>
    <row r="270" spans="1:7" x14ac:dyDescent="0.3">
      <c r="A270" t="s">
        <v>7</v>
      </c>
      <c r="B270">
        <v>375</v>
      </c>
      <c r="C270">
        <v>149372</v>
      </c>
      <c r="D270">
        <v>19.3</v>
      </c>
      <c r="E270">
        <v>4.0999999999999996</v>
      </c>
      <c r="F270">
        <v>11580</v>
      </c>
      <c r="G270">
        <v>739</v>
      </c>
    </row>
    <row r="271" spans="1:7" x14ac:dyDescent="0.3">
      <c r="A271" t="s">
        <v>7</v>
      </c>
      <c r="B271">
        <v>297</v>
      </c>
      <c r="C271">
        <v>97554</v>
      </c>
      <c r="D271">
        <v>17.2</v>
      </c>
      <c r="E271">
        <v>1.26</v>
      </c>
      <c r="F271">
        <v>10320</v>
      </c>
      <c r="G271">
        <v>687</v>
      </c>
    </row>
    <row r="272" spans="1:7" x14ac:dyDescent="0.3">
      <c r="A272" t="s">
        <v>8</v>
      </c>
      <c r="B272">
        <v>734</v>
      </c>
      <c r="C272">
        <v>439030</v>
      </c>
      <c r="D272">
        <v>27.1</v>
      </c>
      <c r="E272">
        <v>2.62</v>
      </c>
      <c r="F272">
        <v>32520</v>
      </c>
      <c r="G272">
        <v>1338</v>
      </c>
    </row>
    <row r="273" spans="1:7" x14ac:dyDescent="0.3">
      <c r="A273" t="s">
        <v>8</v>
      </c>
      <c r="B273">
        <v>113</v>
      </c>
      <c r="C273">
        <v>14412</v>
      </c>
      <c r="D273">
        <v>10.6</v>
      </c>
      <c r="E273">
        <v>4.2699999999999996</v>
      </c>
      <c r="F273">
        <v>12720</v>
      </c>
      <c r="G273">
        <v>476</v>
      </c>
    </row>
    <row r="274" spans="1:7" x14ac:dyDescent="0.3">
      <c r="A274" t="s">
        <v>8</v>
      </c>
      <c r="B274">
        <v>138</v>
      </c>
      <c r="C274">
        <v>27240</v>
      </c>
      <c r="D274">
        <v>11.7</v>
      </c>
      <c r="E274">
        <v>2.35</v>
      </c>
      <c r="F274">
        <v>14040</v>
      </c>
      <c r="G274">
        <v>490</v>
      </c>
    </row>
    <row r="275" spans="1:7" x14ac:dyDescent="0.3">
      <c r="A275" t="s">
        <v>8</v>
      </c>
      <c r="B275">
        <v>372</v>
      </c>
      <c r="C275">
        <v>190598</v>
      </c>
      <c r="D275">
        <v>19.2</v>
      </c>
      <c r="E275">
        <v>4.41</v>
      </c>
      <c r="F275">
        <v>23040</v>
      </c>
      <c r="G275">
        <v>651</v>
      </c>
    </row>
    <row r="276" spans="1:7" x14ac:dyDescent="0.3">
      <c r="A276" t="s">
        <v>8</v>
      </c>
      <c r="B276">
        <v>1307</v>
      </c>
      <c r="C276">
        <v>1303468</v>
      </c>
      <c r="D276">
        <v>36.299999999999997</v>
      </c>
      <c r="E276">
        <v>4.5</v>
      </c>
      <c r="F276">
        <v>43560</v>
      </c>
      <c r="G276">
        <v>1216</v>
      </c>
    </row>
    <row r="277" spans="1:7" x14ac:dyDescent="0.3">
      <c r="A277" t="s">
        <v>8</v>
      </c>
      <c r="B277">
        <v>581</v>
      </c>
      <c r="C277">
        <v>271704</v>
      </c>
      <c r="D277">
        <v>24.1</v>
      </c>
      <c r="E277">
        <v>4.41</v>
      </c>
      <c r="F277">
        <v>28920</v>
      </c>
      <c r="G277">
        <v>1413</v>
      </c>
    </row>
    <row r="278" spans="1:7" x14ac:dyDescent="0.3">
      <c r="A278" t="s">
        <v>8</v>
      </c>
      <c r="B278">
        <v>131</v>
      </c>
      <c r="C278">
        <v>29534</v>
      </c>
      <c r="D278">
        <v>11.5</v>
      </c>
      <c r="E278">
        <v>1.21</v>
      </c>
      <c r="F278">
        <v>13800</v>
      </c>
      <c r="G278">
        <v>610</v>
      </c>
    </row>
    <row r="279" spans="1:7" x14ac:dyDescent="0.3">
      <c r="A279" t="s">
        <v>8</v>
      </c>
      <c r="B279">
        <v>230</v>
      </c>
      <c r="C279">
        <v>54469</v>
      </c>
      <c r="D279">
        <v>15.2</v>
      </c>
      <c r="E279">
        <v>4.28</v>
      </c>
      <c r="F279">
        <v>18240</v>
      </c>
      <c r="G279">
        <v>811</v>
      </c>
    </row>
    <row r="280" spans="1:7" x14ac:dyDescent="0.3">
      <c r="A280" t="s">
        <v>8</v>
      </c>
      <c r="B280">
        <v>402</v>
      </c>
      <c r="C280">
        <v>156805</v>
      </c>
      <c r="D280">
        <v>20</v>
      </c>
      <c r="E280">
        <v>3.34</v>
      </c>
      <c r="F280">
        <v>24000</v>
      </c>
      <c r="G280">
        <v>701</v>
      </c>
    </row>
    <row r="281" spans="1:7" x14ac:dyDescent="0.3">
      <c r="A281" t="s">
        <v>7</v>
      </c>
      <c r="B281">
        <v>235</v>
      </c>
      <c r="C281">
        <v>65278</v>
      </c>
      <c r="D281">
        <v>15.3</v>
      </c>
      <c r="E281">
        <v>3.28</v>
      </c>
      <c r="F281">
        <v>9180</v>
      </c>
      <c r="G281">
        <v>352</v>
      </c>
    </row>
    <row r="282" spans="1:7" x14ac:dyDescent="0.3">
      <c r="A282" t="s">
        <v>8</v>
      </c>
      <c r="B282">
        <v>1154</v>
      </c>
      <c r="C282">
        <v>775159</v>
      </c>
      <c r="D282">
        <v>34</v>
      </c>
      <c r="E282">
        <v>3.95</v>
      </c>
      <c r="F282">
        <v>40800</v>
      </c>
      <c r="G282">
        <v>527</v>
      </c>
    </row>
    <row r="283" spans="1:7" x14ac:dyDescent="0.3">
      <c r="A283" t="s">
        <v>7</v>
      </c>
      <c r="B283">
        <v>262</v>
      </c>
      <c r="C283">
        <v>108457</v>
      </c>
      <c r="D283">
        <v>16.2</v>
      </c>
      <c r="E283">
        <v>2.37</v>
      </c>
      <c r="F283">
        <v>9720</v>
      </c>
      <c r="G283">
        <v>955</v>
      </c>
    </row>
    <row r="284" spans="1:7" x14ac:dyDescent="0.3">
      <c r="A284" t="s">
        <v>8</v>
      </c>
      <c r="B284">
        <v>459</v>
      </c>
      <c r="C284">
        <v>214703</v>
      </c>
      <c r="D284">
        <v>21.5</v>
      </c>
      <c r="E284">
        <v>2.14</v>
      </c>
      <c r="F284">
        <v>25800</v>
      </c>
      <c r="G284">
        <v>947</v>
      </c>
    </row>
    <row r="285" spans="1:7" x14ac:dyDescent="0.3">
      <c r="A285" t="s">
        <v>8</v>
      </c>
      <c r="B285">
        <v>234</v>
      </c>
      <c r="C285">
        <v>67935</v>
      </c>
      <c r="D285">
        <v>15.3</v>
      </c>
      <c r="E285">
        <v>2.67</v>
      </c>
      <c r="F285">
        <v>18360</v>
      </c>
      <c r="G285">
        <v>624</v>
      </c>
    </row>
    <row r="286" spans="1:7" x14ac:dyDescent="0.3">
      <c r="A286" t="s">
        <v>8</v>
      </c>
      <c r="B286">
        <v>67</v>
      </c>
      <c r="C286">
        <v>12502</v>
      </c>
      <c r="D286">
        <v>8.1999999999999993</v>
      </c>
      <c r="E286">
        <v>3.01</v>
      </c>
      <c r="F286">
        <v>9840</v>
      </c>
      <c r="G286">
        <v>628</v>
      </c>
    </row>
    <row r="287" spans="1:7" x14ac:dyDescent="0.3">
      <c r="A287" t="s">
        <v>7</v>
      </c>
      <c r="B287">
        <v>115</v>
      </c>
      <c r="C287">
        <v>27001</v>
      </c>
      <c r="D287">
        <v>10.7</v>
      </c>
      <c r="E287">
        <v>1.1299999999999999</v>
      </c>
      <c r="F287">
        <v>6420</v>
      </c>
      <c r="G287">
        <v>1001</v>
      </c>
    </row>
    <row r="288" spans="1:7" x14ac:dyDescent="0.3">
      <c r="A288" t="s">
        <v>7</v>
      </c>
      <c r="B288">
        <v>54</v>
      </c>
      <c r="C288">
        <v>6949</v>
      </c>
      <c r="D288">
        <v>7.3</v>
      </c>
      <c r="E288">
        <v>1.87</v>
      </c>
      <c r="F288">
        <v>4380</v>
      </c>
      <c r="G288">
        <v>642</v>
      </c>
    </row>
    <row r="289" spans="1:7" x14ac:dyDescent="0.3">
      <c r="A289" t="s">
        <v>8</v>
      </c>
      <c r="B289">
        <v>376</v>
      </c>
      <c r="C289">
        <v>174859</v>
      </c>
      <c r="D289">
        <v>19.399999999999999</v>
      </c>
      <c r="E289">
        <v>2.73</v>
      </c>
      <c r="F289">
        <v>23280</v>
      </c>
      <c r="G289">
        <v>851</v>
      </c>
    </row>
    <row r="290" spans="1:7" x14ac:dyDescent="0.3">
      <c r="A290" t="s">
        <v>8</v>
      </c>
      <c r="B290">
        <v>789</v>
      </c>
      <c r="C290">
        <v>374017</v>
      </c>
      <c r="D290">
        <v>28.1</v>
      </c>
      <c r="E290">
        <v>1.1100000000000001</v>
      </c>
      <c r="F290">
        <v>33720</v>
      </c>
      <c r="G290">
        <v>1152</v>
      </c>
    </row>
    <row r="291" spans="1:7" x14ac:dyDescent="0.3">
      <c r="A291" t="s">
        <v>7</v>
      </c>
      <c r="B291">
        <v>51</v>
      </c>
      <c r="C291">
        <v>6293</v>
      </c>
      <c r="D291">
        <v>7.1</v>
      </c>
      <c r="E291">
        <v>1.06</v>
      </c>
      <c r="F291">
        <v>4260</v>
      </c>
      <c r="G291">
        <v>451</v>
      </c>
    </row>
    <row r="292" spans="1:7" x14ac:dyDescent="0.3">
      <c r="A292" t="s">
        <v>8</v>
      </c>
      <c r="B292">
        <v>238</v>
      </c>
      <c r="C292">
        <v>71816</v>
      </c>
      <c r="D292">
        <v>15.5</v>
      </c>
      <c r="E292">
        <v>1.08</v>
      </c>
      <c r="F292">
        <v>18600</v>
      </c>
      <c r="G292">
        <v>892</v>
      </c>
    </row>
    <row r="293" spans="1:7" x14ac:dyDescent="0.3">
      <c r="A293" t="s">
        <v>7</v>
      </c>
      <c r="B293">
        <v>111</v>
      </c>
      <c r="C293">
        <v>26915</v>
      </c>
      <c r="D293">
        <v>10.5</v>
      </c>
      <c r="E293">
        <v>4.47</v>
      </c>
      <c r="F293">
        <v>6300</v>
      </c>
      <c r="G293">
        <v>738</v>
      </c>
    </row>
    <row r="294" spans="1:7" x14ac:dyDescent="0.3">
      <c r="A294" t="s">
        <v>9</v>
      </c>
      <c r="B294">
        <v>1877</v>
      </c>
      <c r="C294">
        <v>1573970</v>
      </c>
      <c r="D294">
        <v>43.2</v>
      </c>
      <c r="E294">
        <v>4.37</v>
      </c>
      <c r="F294">
        <v>95040</v>
      </c>
      <c r="G294">
        <v>1039</v>
      </c>
    </row>
    <row r="295" spans="1:7" x14ac:dyDescent="0.3">
      <c r="A295" t="s">
        <v>8</v>
      </c>
      <c r="B295">
        <v>649</v>
      </c>
      <c r="C295">
        <v>343430</v>
      </c>
      <c r="D295">
        <v>25.4</v>
      </c>
      <c r="E295">
        <v>1.55</v>
      </c>
      <c r="F295">
        <v>30480</v>
      </c>
      <c r="G295">
        <v>1105</v>
      </c>
    </row>
    <row r="296" spans="1:7" x14ac:dyDescent="0.3">
      <c r="A296" t="s">
        <v>8</v>
      </c>
      <c r="B296">
        <v>559</v>
      </c>
      <c r="C296">
        <v>241079</v>
      </c>
      <c r="D296">
        <v>23.6</v>
      </c>
      <c r="E296">
        <v>4.5999999999999996</v>
      </c>
      <c r="F296">
        <v>28320</v>
      </c>
      <c r="G296">
        <v>1286</v>
      </c>
    </row>
    <row r="297" spans="1:7" x14ac:dyDescent="0.3">
      <c r="A297" t="s">
        <v>8</v>
      </c>
      <c r="B297">
        <v>351</v>
      </c>
      <c r="C297">
        <v>156631</v>
      </c>
      <c r="D297">
        <v>18.7</v>
      </c>
      <c r="E297">
        <v>1.99</v>
      </c>
      <c r="F297">
        <v>22440</v>
      </c>
      <c r="G297">
        <v>854</v>
      </c>
    </row>
    <row r="298" spans="1:7" x14ac:dyDescent="0.3">
      <c r="A298" t="s">
        <v>8</v>
      </c>
      <c r="B298">
        <v>895</v>
      </c>
      <c r="C298">
        <v>765393</v>
      </c>
      <c r="D298">
        <v>29.9</v>
      </c>
      <c r="E298">
        <v>3.77</v>
      </c>
      <c r="F298">
        <v>35880</v>
      </c>
      <c r="G298">
        <v>1017</v>
      </c>
    </row>
    <row r="299" spans="1:7" x14ac:dyDescent="0.3">
      <c r="A299" t="s">
        <v>8</v>
      </c>
      <c r="B299">
        <v>71</v>
      </c>
      <c r="C299">
        <v>15180</v>
      </c>
      <c r="D299">
        <v>8.4</v>
      </c>
      <c r="E299">
        <v>2.52</v>
      </c>
      <c r="F299">
        <v>10080</v>
      </c>
      <c r="G299">
        <v>558</v>
      </c>
    </row>
    <row r="300" spans="1:7" x14ac:dyDescent="0.3">
      <c r="A300" t="s">
        <v>9</v>
      </c>
      <c r="B300">
        <v>2401</v>
      </c>
      <c r="C300">
        <v>2242932</v>
      </c>
      <c r="D300">
        <v>49</v>
      </c>
      <c r="E300">
        <v>1.62</v>
      </c>
      <c r="F300">
        <v>107800</v>
      </c>
      <c r="G300">
        <v>1460</v>
      </c>
    </row>
    <row r="301" spans="1:7" x14ac:dyDescent="0.3">
      <c r="A301" t="s">
        <v>7</v>
      </c>
      <c r="B301">
        <v>71</v>
      </c>
      <c r="C301">
        <v>12398</v>
      </c>
      <c r="D301">
        <v>8.4</v>
      </c>
      <c r="E301">
        <v>3.06</v>
      </c>
      <c r="F301">
        <v>5040</v>
      </c>
      <c r="G301">
        <v>832</v>
      </c>
    </row>
    <row r="302" spans="1:7" x14ac:dyDescent="0.3">
      <c r="A302" t="s">
        <v>8</v>
      </c>
      <c r="B302">
        <v>68</v>
      </c>
      <c r="C302">
        <v>14045</v>
      </c>
      <c r="D302">
        <v>8.3000000000000007</v>
      </c>
      <c r="E302">
        <v>1.32</v>
      </c>
      <c r="F302">
        <v>9960</v>
      </c>
      <c r="G302">
        <v>1055</v>
      </c>
    </row>
    <row r="303" spans="1:7" x14ac:dyDescent="0.3">
      <c r="A303" t="s">
        <v>7</v>
      </c>
      <c r="B303">
        <v>75</v>
      </c>
      <c r="C303">
        <v>17311</v>
      </c>
      <c r="D303">
        <v>8.6999999999999993</v>
      </c>
      <c r="E303">
        <v>1.45</v>
      </c>
      <c r="F303">
        <v>5220</v>
      </c>
      <c r="G303">
        <v>269</v>
      </c>
    </row>
    <row r="304" spans="1:7" x14ac:dyDescent="0.3">
      <c r="A304" t="s">
        <v>7</v>
      </c>
      <c r="B304">
        <v>203</v>
      </c>
      <c r="C304">
        <v>67377</v>
      </c>
      <c r="D304">
        <v>14.3</v>
      </c>
      <c r="E304">
        <v>2.59</v>
      </c>
      <c r="F304">
        <v>8580</v>
      </c>
      <c r="G304">
        <v>1261</v>
      </c>
    </row>
    <row r="305" spans="1:7" x14ac:dyDescent="0.3">
      <c r="A305" t="s">
        <v>7</v>
      </c>
      <c r="B305">
        <v>272</v>
      </c>
      <c r="C305">
        <v>77011</v>
      </c>
      <c r="D305">
        <v>16.5</v>
      </c>
      <c r="E305">
        <v>2.7</v>
      </c>
      <c r="F305">
        <v>9900</v>
      </c>
      <c r="G305">
        <v>725</v>
      </c>
    </row>
    <row r="306" spans="1:7" x14ac:dyDescent="0.3">
      <c r="A306" t="s">
        <v>7</v>
      </c>
      <c r="B306">
        <v>89</v>
      </c>
      <c r="C306">
        <v>15319</v>
      </c>
      <c r="D306">
        <v>9.4</v>
      </c>
      <c r="E306">
        <v>3.23</v>
      </c>
      <c r="F306">
        <v>5640</v>
      </c>
      <c r="G306">
        <v>390</v>
      </c>
    </row>
    <row r="307" spans="1:7" x14ac:dyDescent="0.3">
      <c r="A307" t="s">
        <v>7</v>
      </c>
      <c r="B307">
        <v>482</v>
      </c>
      <c r="C307">
        <v>198388</v>
      </c>
      <c r="D307">
        <v>22</v>
      </c>
      <c r="E307">
        <v>2.5499999999999998</v>
      </c>
      <c r="F307">
        <v>13200</v>
      </c>
      <c r="G307">
        <v>667</v>
      </c>
    </row>
    <row r="308" spans="1:7" x14ac:dyDescent="0.3">
      <c r="A308" t="s">
        <v>7</v>
      </c>
      <c r="B308">
        <v>247</v>
      </c>
      <c r="C308">
        <v>81023</v>
      </c>
      <c r="D308">
        <v>15.7</v>
      </c>
      <c r="E308">
        <v>3.86</v>
      </c>
      <c r="F308">
        <v>9420</v>
      </c>
      <c r="G308">
        <v>624</v>
      </c>
    </row>
    <row r="309" spans="1:7" x14ac:dyDescent="0.3">
      <c r="A309" t="s">
        <v>8</v>
      </c>
      <c r="B309">
        <v>1034</v>
      </c>
      <c r="C309">
        <v>607692</v>
      </c>
      <c r="D309">
        <v>32.200000000000003</v>
      </c>
      <c r="E309">
        <v>4.9800000000000004</v>
      </c>
      <c r="F309">
        <v>38640</v>
      </c>
      <c r="G309">
        <v>987</v>
      </c>
    </row>
    <row r="310" spans="1:7" x14ac:dyDescent="0.3">
      <c r="A310" t="s">
        <v>7</v>
      </c>
      <c r="B310">
        <v>15</v>
      </c>
      <c r="C310">
        <v>1213</v>
      </c>
      <c r="D310">
        <v>3.9</v>
      </c>
      <c r="E310">
        <v>3.31</v>
      </c>
      <c r="F310">
        <v>2340</v>
      </c>
      <c r="G310">
        <v>664</v>
      </c>
    </row>
    <row r="311" spans="1:7" x14ac:dyDescent="0.3">
      <c r="A311" t="s">
        <v>7</v>
      </c>
      <c r="B311">
        <v>70</v>
      </c>
      <c r="C311">
        <v>11315</v>
      </c>
      <c r="D311">
        <v>8.4</v>
      </c>
      <c r="E311">
        <v>1.71</v>
      </c>
      <c r="F311">
        <v>5040</v>
      </c>
      <c r="G311">
        <v>535</v>
      </c>
    </row>
    <row r="312" spans="1:7" x14ac:dyDescent="0.3">
      <c r="A312" t="s">
        <v>8</v>
      </c>
      <c r="B312">
        <v>84</v>
      </c>
      <c r="C312">
        <v>17498</v>
      </c>
      <c r="D312">
        <v>9.1999999999999993</v>
      </c>
      <c r="E312">
        <v>4.04</v>
      </c>
      <c r="F312">
        <v>11040</v>
      </c>
      <c r="G312">
        <v>481</v>
      </c>
    </row>
    <row r="313" spans="1:7" x14ac:dyDescent="0.3">
      <c r="A313" t="s">
        <v>7</v>
      </c>
      <c r="B313">
        <v>64</v>
      </c>
      <c r="C313">
        <v>6392</v>
      </c>
      <c r="D313">
        <v>8</v>
      </c>
      <c r="E313">
        <v>4.38</v>
      </c>
      <c r="F313">
        <v>4800</v>
      </c>
      <c r="G313">
        <v>856</v>
      </c>
    </row>
    <row r="314" spans="1:7" x14ac:dyDescent="0.3">
      <c r="A314" t="s">
        <v>7</v>
      </c>
      <c r="B314">
        <v>251</v>
      </c>
      <c r="C314">
        <v>87269</v>
      </c>
      <c r="D314">
        <v>15.8</v>
      </c>
      <c r="E314">
        <v>3.48</v>
      </c>
      <c r="F314">
        <v>9480</v>
      </c>
      <c r="G314">
        <v>835</v>
      </c>
    </row>
    <row r="315" spans="1:7" x14ac:dyDescent="0.3">
      <c r="A315" t="s">
        <v>8</v>
      </c>
      <c r="B315">
        <v>122</v>
      </c>
      <c r="C315">
        <v>20497</v>
      </c>
      <c r="D315">
        <v>11.1</v>
      </c>
      <c r="E315">
        <v>1.58</v>
      </c>
      <c r="F315">
        <v>13320</v>
      </c>
      <c r="G315">
        <v>977</v>
      </c>
    </row>
    <row r="316" spans="1:7" x14ac:dyDescent="0.3">
      <c r="A316" t="s">
        <v>7</v>
      </c>
      <c r="B316">
        <v>92</v>
      </c>
      <c r="C316">
        <v>18788</v>
      </c>
      <c r="D316">
        <v>9.6</v>
      </c>
      <c r="E316">
        <v>1.72</v>
      </c>
      <c r="F316">
        <v>5760</v>
      </c>
      <c r="G316">
        <v>716</v>
      </c>
    </row>
    <row r="317" spans="1:7" x14ac:dyDescent="0.3">
      <c r="A317" t="s">
        <v>9</v>
      </c>
      <c r="B317">
        <v>555</v>
      </c>
      <c r="C317">
        <v>314941</v>
      </c>
      <c r="D317">
        <v>23.5</v>
      </c>
      <c r="E317">
        <v>2.5</v>
      </c>
      <c r="F317">
        <v>51700</v>
      </c>
      <c r="G317">
        <v>1383</v>
      </c>
    </row>
    <row r="318" spans="1:7" x14ac:dyDescent="0.3">
      <c r="A318" t="s">
        <v>7</v>
      </c>
      <c r="B318">
        <v>85</v>
      </c>
      <c r="C318">
        <v>16148</v>
      </c>
      <c r="D318">
        <v>9.3000000000000007</v>
      </c>
      <c r="E318">
        <v>4.1500000000000004</v>
      </c>
      <c r="F318">
        <v>5580</v>
      </c>
      <c r="G318">
        <v>972</v>
      </c>
    </row>
    <row r="319" spans="1:7" x14ac:dyDescent="0.3">
      <c r="A319" t="s">
        <v>7</v>
      </c>
      <c r="B319">
        <v>160</v>
      </c>
      <c r="C319">
        <v>46612</v>
      </c>
      <c r="D319">
        <v>12.6</v>
      </c>
      <c r="E319">
        <v>4.21</v>
      </c>
      <c r="F319">
        <v>7560</v>
      </c>
      <c r="G319">
        <v>710</v>
      </c>
    </row>
    <row r="320" spans="1:7" x14ac:dyDescent="0.3">
      <c r="A320" t="s">
        <v>8</v>
      </c>
      <c r="B320">
        <v>191</v>
      </c>
      <c r="C320">
        <v>53233</v>
      </c>
      <c r="D320">
        <v>13.8</v>
      </c>
      <c r="E320">
        <v>2.33</v>
      </c>
      <c r="F320">
        <v>16560</v>
      </c>
      <c r="G320">
        <v>352</v>
      </c>
    </row>
    <row r="321" spans="1:7" x14ac:dyDescent="0.3">
      <c r="A321" t="s">
        <v>9</v>
      </c>
      <c r="B321">
        <v>2726</v>
      </c>
      <c r="C321">
        <v>3693174</v>
      </c>
      <c r="D321">
        <v>52</v>
      </c>
      <c r="E321">
        <v>4.82</v>
      </c>
      <c r="F321">
        <v>114400</v>
      </c>
      <c r="G321">
        <v>1960</v>
      </c>
    </row>
    <row r="322" spans="1:7" x14ac:dyDescent="0.3">
      <c r="A322" t="s">
        <v>7</v>
      </c>
      <c r="B322">
        <v>81</v>
      </c>
      <c r="C322">
        <v>15828</v>
      </c>
      <c r="D322">
        <v>9</v>
      </c>
      <c r="E322">
        <v>4.8499999999999996</v>
      </c>
      <c r="F322">
        <v>5400</v>
      </c>
      <c r="G322">
        <v>233</v>
      </c>
    </row>
    <row r="323" spans="1:7" x14ac:dyDescent="0.3">
      <c r="A323" t="s">
        <v>8</v>
      </c>
      <c r="B323">
        <v>170</v>
      </c>
      <c r="C323">
        <v>45875</v>
      </c>
      <c r="D323">
        <v>13</v>
      </c>
      <c r="E323">
        <v>1.83</v>
      </c>
      <c r="F323">
        <v>15600</v>
      </c>
      <c r="G323">
        <v>1037</v>
      </c>
    </row>
    <row r="324" spans="1:7" x14ac:dyDescent="0.3">
      <c r="A324" t="s">
        <v>8</v>
      </c>
      <c r="B324">
        <v>577</v>
      </c>
      <c r="C324">
        <v>231462</v>
      </c>
      <c r="D324">
        <v>24</v>
      </c>
      <c r="E324">
        <v>2.37</v>
      </c>
      <c r="F324">
        <v>28800</v>
      </c>
      <c r="G324">
        <v>1018</v>
      </c>
    </row>
    <row r="325" spans="1:7" x14ac:dyDescent="0.3">
      <c r="A325" t="s">
        <v>9</v>
      </c>
      <c r="B325">
        <v>653</v>
      </c>
      <c r="C325">
        <v>318837</v>
      </c>
      <c r="D325">
        <v>25.5</v>
      </c>
      <c r="E325">
        <v>3.31</v>
      </c>
      <c r="F325">
        <v>56100</v>
      </c>
      <c r="G325">
        <v>930</v>
      </c>
    </row>
    <row r="326" spans="1:7" x14ac:dyDescent="0.3">
      <c r="A326" t="s">
        <v>8</v>
      </c>
      <c r="B326">
        <v>573</v>
      </c>
      <c r="C326">
        <v>349938</v>
      </c>
      <c r="D326">
        <v>23.9</v>
      </c>
      <c r="E326">
        <v>1.5</v>
      </c>
      <c r="F326">
        <v>28680</v>
      </c>
      <c r="G326">
        <v>1096</v>
      </c>
    </row>
    <row r="327" spans="1:7" x14ac:dyDescent="0.3">
      <c r="A327" t="s">
        <v>9</v>
      </c>
      <c r="B327">
        <v>4475</v>
      </c>
      <c r="C327">
        <v>5486433</v>
      </c>
      <c r="D327">
        <v>67</v>
      </c>
      <c r="E327">
        <v>1.51</v>
      </c>
      <c r="F327">
        <v>147400</v>
      </c>
      <c r="G327">
        <v>2288</v>
      </c>
    </row>
    <row r="328" spans="1:7" x14ac:dyDescent="0.3">
      <c r="A328" t="s">
        <v>7</v>
      </c>
      <c r="B328">
        <v>23</v>
      </c>
      <c r="C328">
        <v>3437</v>
      </c>
      <c r="D328">
        <v>4.8</v>
      </c>
      <c r="E328">
        <v>4.34</v>
      </c>
      <c r="F328">
        <v>2880</v>
      </c>
      <c r="G328">
        <v>360</v>
      </c>
    </row>
    <row r="329" spans="1:7" x14ac:dyDescent="0.3">
      <c r="A329" t="s">
        <v>8</v>
      </c>
      <c r="B329">
        <v>1595</v>
      </c>
      <c r="C329">
        <v>988204</v>
      </c>
      <c r="D329">
        <v>40</v>
      </c>
      <c r="E329">
        <v>2.84</v>
      </c>
      <c r="F329">
        <v>48000</v>
      </c>
      <c r="G329">
        <v>1213</v>
      </c>
    </row>
    <row r="330" spans="1:7" x14ac:dyDescent="0.3">
      <c r="A330" t="s">
        <v>7</v>
      </c>
      <c r="B330">
        <v>3</v>
      </c>
      <c r="C330">
        <v>92</v>
      </c>
      <c r="D330">
        <v>1.7</v>
      </c>
      <c r="E330">
        <v>3.52</v>
      </c>
      <c r="F330">
        <v>1020</v>
      </c>
      <c r="G330">
        <v>100</v>
      </c>
    </row>
    <row r="331" spans="1:7" x14ac:dyDescent="0.3">
      <c r="A331" t="s">
        <v>7</v>
      </c>
      <c r="B331">
        <v>18</v>
      </c>
      <c r="C331">
        <v>1239</v>
      </c>
      <c r="D331">
        <v>4.3</v>
      </c>
      <c r="E331">
        <v>4.54</v>
      </c>
      <c r="F331">
        <v>2580</v>
      </c>
      <c r="G331">
        <v>584</v>
      </c>
    </row>
    <row r="332" spans="1:7" x14ac:dyDescent="0.3">
      <c r="A332" t="s">
        <v>8</v>
      </c>
      <c r="B332">
        <v>198</v>
      </c>
      <c r="C332">
        <v>61602</v>
      </c>
      <c r="D332">
        <v>14.1</v>
      </c>
      <c r="E332">
        <v>4.1399999999999997</v>
      </c>
      <c r="F332">
        <v>16920</v>
      </c>
      <c r="G332">
        <v>1144</v>
      </c>
    </row>
    <row r="333" spans="1:7" x14ac:dyDescent="0.3">
      <c r="A333" t="s">
        <v>8</v>
      </c>
      <c r="B333">
        <v>694</v>
      </c>
      <c r="C333">
        <v>533620</v>
      </c>
      <c r="D333">
        <v>26.4</v>
      </c>
      <c r="E333">
        <v>1.54</v>
      </c>
      <c r="F333">
        <v>31680</v>
      </c>
      <c r="G333">
        <v>1126</v>
      </c>
    </row>
    <row r="334" spans="1:7" x14ac:dyDescent="0.3">
      <c r="A334" t="s">
        <v>9</v>
      </c>
      <c r="B334">
        <v>374</v>
      </c>
      <c r="C334">
        <v>265881</v>
      </c>
      <c r="D334">
        <v>19.3</v>
      </c>
      <c r="E334">
        <v>4.5</v>
      </c>
      <c r="F334">
        <v>42460</v>
      </c>
      <c r="G334">
        <v>1500</v>
      </c>
    </row>
    <row r="335" spans="1:7" x14ac:dyDescent="0.3">
      <c r="A335" t="s">
        <v>8</v>
      </c>
      <c r="B335">
        <v>316</v>
      </c>
      <c r="C335">
        <v>79404</v>
      </c>
      <c r="D335">
        <v>17.8</v>
      </c>
      <c r="E335">
        <v>3.14</v>
      </c>
      <c r="F335">
        <v>21360</v>
      </c>
      <c r="G335">
        <v>766</v>
      </c>
    </row>
    <row r="336" spans="1:7" x14ac:dyDescent="0.3">
      <c r="A336" t="s">
        <v>7</v>
      </c>
      <c r="B336">
        <v>50</v>
      </c>
      <c r="C336">
        <v>5245</v>
      </c>
      <c r="D336">
        <v>7.1</v>
      </c>
      <c r="E336">
        <v>4.26</v>
      </c>
      <c r="F336">
        <v>4260</v>
      </c>
      <c r="G336">
        <v>635</v>
      </c>
    </row>
    <row r="337" spans="1:7" x14ac:dyDescent="0.3">
      <c r="A337" t="s">
        <v>9</v>
      </c>
      <c r="B337">
        <v>1805</v>
      </c>
      <c r="C337">
        <v>2253321</v>
      </c>
      <c r="D337">
        <v>42.8</v>
      </c>
      <c r="E337">
        <v>3.33</v>
      </c>
      <c r="F337">
        <v>94160</v>
      </c>
      <c r="G337">
        <v>1095</v>
      </c>
    </row>
    <row r="338" spans="1:7" x14ac:dyDescent="0.3">
      <c r="A338" t="s">
        <v>8</v>
      </c>
      <c r="B338">
        <v>330</v>
      </c>
      <c r="C338">
        <v>110547</v>
      </c>
      <c r="D338">
        <v>18.2</v>
      </c>
      <c r="E338">
        <v>1.44</v>
      </c>
      <c r="F338">
        <v>21840</v>
      </c>
      <c r="G338">
        <v>1178</v>
      </c>
    </row>
    <row r="339" spans="1:7" x14ac:dyDescent="0.3">
      <c r="A339" t="s">
        <v>8</v>
      </c>
      <c r="B339">
        <v>108</v>
      </c>
      <c r="C339">
        <v>14205</v>
      </c>
      <c r="D339">
        <v>10.4</v>
      </c>
      <c r="E339">
        <v>1.96</v>
      </c>
      <c r="F339">
        <v>12480</v>
      </c>
      <c r="G339">
        <v>411</v>
      </c>
    </row>
    <row r="340" spans="1:7" x14ac:dyDescent="0.3">
      <c r="A340" t="s">
        <v>8</v>
      </c>
      <c r="B340">
        <v>743</v>
      </c>
      <c r="C340">
        <v>403275</v>
      </c>
      <c r="D340">
        <v>27.2</v>
      </c>
      <c r="E340">
        <v>1.82</v>
      </c>
      <c r="F340">
        <v>32640</v>
      </c>
      <c r="G340">
        <v>1039</v>
      </c>
    </row>
    <row r="341" spans="1:7" x14ac:dyDescent="0.3">
      <c r="A341" t="s">
        <v>7</v>
      </c>
      <c r="B341">
        <v>68</v>
      </c>
      <c r="C341">
        <v>11529</v>
      </c>
      <c r="D341">
        <v>8.3000000000000007</v>
      </c>
      <c r="E341">
        <v>2.52</v>
      </c>
      <c r="F341">
        <v>4980</v>
      </c>
      <c r="G341">
        <v>286</v>
      </c>
    </row>
    <row r="342" spans="1:7" x14ac:dyDescent="0.3">
      <c r="A342" t="s">
        <v>8</v>
      </c>
      <c r="B342">
        <v>361</v>
      </c>
      <c r="C342">
        <v>81004</v>
      </c>
      <c r="D342">
        <v>19</v>
      </c>
      <c r="E342">
        <v>1.7</v>
      </c>
      <c r="F342">
        <v>22800</v>
      </c>
      <c r="G342">
        <v>1644</v>
      </c>
    </row>
    <row r="343" spans="1:7" x14ac:dyDescent="0.3">
      <c r="A343" t="s">
        <v>7</v>
      </c>
      <c r="B343">
        <v>233</v>
      </c>
      <c r="C343">
        <v>78588</v>
      </c>
      <c r="D343">
        <v>15.2</v>
      </c>
      <c r="E343">
        <v>1.37</v>
      </c>
      <c r="F343">
        <v>9120</v>
      </c>
      <c r="G343">
        <v>291</v>
      </c>
    </row>
    <row r="344" spans="1:7" x14ac:dyDescent="0.3">
      <c r="A344" t="s">
        <v>9</v>
      </c>
      <c r="B344">
        <v>833</v>
      </c>
      <c r="C344">
        <v>414849</v>
      </c>
      <c r="D344">
        <v>29</v>
      </c>
      <c r="E344">
        <v>2.29</v>
      </c>
      <c r="F344">
        <v>63800</v>
      </c>
      <c r="G344">
        <v>735</v>
      </c>
    </row>
    <row r="345" spans="1:7" x14ac:dyDescent="0.3">
      <c r="A345" t="s">
        <v>7</v>
      </c>
      <c r="B345">
        <v>707</v>
      </c>
      <c r="C345">
        <v>317745</v>
      </c>
      <c r="D345">
        <v>26.5</v>
      </c>
      <c r="E345">
        <v>4.66</v>
      </c>
      <c r="F345">
        <v>15900</v>
      </c>
      <c r="G345">
        <v>521</v>
      </c>
    </row>
    <row r="346" spans="1:7" x14ac:dyDescent="0.3">
      <c r="A346" t="s">
        <v>7</v>
      </c>
      <c r="B346">
        <v>618</v>
      </c>
      <c r="C346">
        <v>252332</v>
      </c>
      <c r="D346">
        <v>24.8</v>
      </c>
      <c r="E346">
        <v>4.41</v>
      </c>
      <c r="F346">
        <v>14880</v>
      </c>
      <c r="G346">
        <v>924</v>
      </c>
    </row>
    <row r="347" spans="1:7" x14ac:dyDescent="0.3">
      <c r="A347" t="s">
        <v>8</v>
      </c>
      <c r="B347">
        <v>2030</v>
      </c>
      <c r="C347">
        <v>1095039</v>
      </c>
      <c r="D347">
        <v>44.9</v>
      </c>
      <c r="E347">
        <v>2.9</v>
      </c>
      <c r="F347">
        <v>53880</v>
      </c>
      <c r="G347">
        <v>1248</v>
      </c>
    </row>
    <row r="348" spans="1:7" x14ac:dyDescent="0.3">
      <c r="A348" t="s">
        <v>7</v>
      </c>
      <c r="B348">
        <v>191</v>
      </c>
      <c r="C348">
        <v>57600</v>
      </c>
      <c r="D348">
        <v>13.8</v>
      </c>
      <c r="E348">
        <v>2.71</v>
      </c>
      <c r="F348">
        <v>8280</v>
      </c>
      <c r="G348">
        <v>696</v>
      </c>
    </row>
    <row r="349" spans="1:7" x14ac:dyDescent="0.3">
      <c r="A349" t="s">
        <v>8</v>
      </c>
      <c r="B349">
        <v>80</v>
      </c>
      <c r="C349">
        <v>17113</v>
      </c>
      <c r="D349">
        <v>8.9</v>
      </c>
      <c r="E349">
        <v>2.19</v>
      </c>
      <c r="F349">
        <v>10680</v>
      </c>
      <c r="G349">
        <v>445</v>
      </c>
    </row>
    <row r="350" spans="1:7" x14ac:dyDescent="0.3">
      <c r="A350" t="s">
        <v>7</v>
      </c>
      <c r="B350">
        <v>75</v>
      </c>
      <c r="C350">
        <v>12216</v>
      </c>
      <c r="D350">
        <v>8.6999999999999993</v>
      </c>
      <c r="E350">
        <v>1.05</v>
      </c>
      <c r="F350">
        <v>5220</v>
      </c>
      <c r="G350">
        <v>717</v>
      </c>
    </row>
    <row r="351" spans="1:7" x14ac:dyDescent="0.3">
      <c r="A351" t="s">
        <v>8</v>
      </c>
      <c r="B351">
        <v>163</v>
      </c>
      <c r="C351">
        <v>36391</v>
      </c>
      <c r="D351">
        <v>12.7</v>
      </c>
      <c r="E351">
        <v>4.33</v>
      </c>
      <c r="F351">
        <v>15240</v>
      </c>
      <c r="G351">
        <v>656</v>
      </c>
    </row>
    <row r="352" spans="1:7" x14ac:dyDescent="0.3">
      <c r="A352" t="s">
        <v>7</v>
      </c>
      <c r="B352">
        <v>73</v>
      </c>
      <c r="C352">
        <v>13648</v>
      </c>
      <c r="D352">
        <v>8.5</v>
      </c>
      <c r="E352">
        <v>1.19</v>
      </c>
      <c r="F352">
        <v>5100</v>
      </c>
      <c r="G352">
        <v>1069</v>
      </c>
    </row>
    <row r="353" spans="1:7" x14ac:dyDescent="0.3">
      <c r="A353" t="s">
        <v>8</v>
      </c>
      <c r="B353">
        <v>1186</v>
      </c>
      <c r="C353">
        <v>846941</v>
      </c>
      <c r="D353">
        <v>34.4</v>
      </c>
      <c r="E353">
        <v>3.49</v>
      </c>
      <c r="F353">
        <v>41280</v>
      </c>
      <c r="G353">
        <v>1492</v>
      </c>
    </row>
    <row r="354" spans="1:7" x14ac:dyDescent="0.3">
      <c r="A354" t="s">
        <v>8</v>
      </c>
      <c r="B354">
        <v>236</v>
      </c>
      <c r="C354">
        <v>60252</v>
      </c>
      <c r="D354">
        <v>15.4</v>
      </c>
      <c r="E354">
        <v>4.26</v>
      </c>
      <c r="F354">
        <v>18480</v>
      </c>
      <c r="G354">
        <v>737</v>
      </c>
    </row>
    <row r="355" spans="1:7" x14ac:dyDescent="0.3">
      <c r="A355" t="s">
        <v>9</v>
      </c>
      <c r="B355">
        <v>5263</v>
      </c>
      <c r="C355">
        <v>9729833</v>
      </c>
      <c r="D355">
        <v>72.8</v>
      </c>
      <c r="E355">
        <v>4.42</v>
      </c>
      <c r="F355">
        <v>160160</v>
      </c>
      <c r="G355">
        <v>2019</v>
      </c>
    </row>
    <row r="356" spans="1:7" x14ac:dyDescent="0.3">
      <c r="A356" t="s">
        <v>8</v>
      </c>
      <c r="B356">
        <v>583</v>
      </c>
      <c r="C356">
        <v>186024</v>
      </c>
      <c r="D356">
        <v>24.1</v>
      </c>
      <c r="E356">
        <v>4.97</v>
      </c>
      <c r="F356">
        <v>28920</v>
      </c>
      <c r="G356">
        <v>1348</v>
      </c>
    </row>
    <row r="357" spans="1:7" x14ac:dyDescent="0.3">
      <c r="A357" t="s">
        <v>8</v>
      </c>
      <c r="B357">
        <v>326</v>
      </c>
      <c r="C357">
        <v>124996</v>
      </c>
      <c r="D357">
        <v>18.100000000000001</v>
      </c>
      <c r="E357">
        <v>3.8</v>
      </c>
      <c r="F357">
        <v>21720</v>
      </c>
      <c r="G357">
        <v>815</v>
      </c>
    </row>
    <row r="358" spans="1:7" x14ac:dyDescent="0.3">
      <c r="A358" t="s">
        <v>9</v>
      </c>
      <c r="B358">
        <v>382</v>
      </c>
      <c r="C358">
        <v>157135</v>
      </c>
      <c r="D358">
        <v>19.600000000000001</v>
      </c>
      <c r="E358">
        <v>1.21</v>
      </c>
      <c r="F358">
        <v>43120</v>
      </c>
      <c r="G358">
        <v>1042</v>
      </c>
    </row>
    <row r="359" spans="1:7" x14ac:dyDescent="0.3">
      <c r="A359" t="s">
        <v>9</v>
      </c>
      <c r="B359">
        <v>3246</v>
      </c>
      <c r="C359">
        <v>4816737</v>
      </c>
      <c r="D359">
        <v>56.9</v>
      </c>
      <c r="E359">
        <v>3.02</v>
      </c>
      <c r="F359">
        <v>125180</v>
      </c>
      <c r="G359">
        <v>1782</v>
      </c>
    </row>
    <row r="360" spans="1:7" x14ac:dyDescent="0.3">
      <c r="A360" t="s">
        <v>7</v>
      </c>
      <c r="B360">
        <v>226</v>
      </c>
      <c r="C360">
        <v>59460</v>
      </c>
      <c r="D360">
        <v>15.1</v>
      </c>
      <c r="E360">
        <v>2.57</v>
      </c>
      <c r="F360">
        <v>9060</v>
      </c>
      <c r="G360">
        <v>716</v>
      </c>
    </row>
    <row r="361" spans="1:7" x14ac:dyDescent="0.3">
      <c r="A361" t="s">
        <v>9</v>
      </c>
      <c r="B361">
        <v>2492</v>
      </c>
      <c r="C361">
        <v>2214540</v>
      </c>
      <c r="D361">
        <v>49.8</v>
      </c>
      <c r="E361">
        <v>2.4500000000000002</v>
      </c>
      <c r="F361">
        <v>109560</v>
      </c>
      <c r="G361">
        <v>2009</v>
      </c>
    </row>
    <row r="362" spans="1:7" x14ac:dyDescent="0.3">
      <c r="A362" t="s">
        <v>8</v>
      </c>
      <c r="B362">
        <v>8</v>
      </c>
      <c r="C362">
        <v>418</v>
      </c>
      <c r="D362">
        <v>2.8</v>
      </c>
      <c r="E362">
        <v>3.75</v>
      </c>
      <c r="F362">
        <v>3360</v>
      </c>
      <c r="G362">
        <v>428</v>
      </c>
    </row>
    <row r="363" spans="1:7" x14ac:dyDescent="0.3">
      <c r="A363" t="s">
        <v>7</v>
      </c>
      <c r="B363">
        <v>151</v>
      </c>
      <c r="C363">
        <v>60889</v>
      </c>
      <c r="D363">
        <v>12.2</v>
      </c>
      <c r="E363">
        <v>4.1500000000000004</v>
      </c>
      <c r="F363">
        <v>7320</v>
      </c>
      <c r="G363">
        <v>682</v>
      </c>
    </row>
    <row r="364" spans="1:7" x14ac:dyDescent="0.3">
      <c r="A364" t="s">
        <v>7</v>
      </c>
      <c r="B364">
        <v>466</v>
      </c>
      <c r="C364">
        <v>176655</v>
      </c>
      <c r="D364">
        <v>21.6</v>
      </c>
      <c r="E364">
        <v>3.27</v>
      </c>
      <c r="F364">
        <v>12960</v>
      </c>
      <c r="G364">
        <v>989</v>
      </c>
    </row>
    <row r="365" spans="1:7" x14ac:dyDescent="0.3">
      <c r="A365" t="s">
        <v>8</v>
      </c>
      <c r="B365">
        <v>50</v>
      </c>
      <c r="C365">
        <v>7950</v>
      </c>
      <c r="D365">
        <v>7.1</v>
      </c>
      <c r="E365">
        <v>2.0499999999999998</v>
      </c>
      <c r="F365">
        <v>8520</v>
      </c>
      <c r="G365">
        <v>584</v>
      </c>
    </row>
    <row r="366" spans="1:7" x14ac:dyDescent="0.3">
      <c r="A366" t="s">
        <v>8</v>
      </c>
      <c r="B366">
        <v>29</v>
      </c>
      <c r="C366">
        <v>4356</v>
      </c>
      <c r="D366">
        <v>5.4</v>
      </c>
      <c r="E366">
        <v>3</v>
      </c>
      <c r="F366">
        <v>6480</v>
      </c>
      <c r="G366">
        <v>1026</v>
      </c>
    </row>
    <row r="367" spans="1:7" x14ac:dyDescent="0.3">
      <c r="A367" t="s">
        <v>7</v>
      </c>
      <c r="B367">
        <v>266</v>
      </c>
      <c r="C367">
        <v>104720</v>
      </c>
      <c r="D367">
        <v>16.3</v>
      </c>
      <c r="E367">
        <v>3.91</v>
      </c>
      <c r="F367">
        <v>9780</v>
      </c>
      <c r="G367">
        <v>978</v>
      </c>
    </row>
    <row r="368" spans="1:7" x14ac:dyDescent="0.3">
      <c r="A368" t="s">
        <v>9</v>
      </c>
      <c r="B368">
        <v>2229</v>
      </c>
      <c r="C368">
        <v>1734900</v>
      </c>
      <c r="D368">
        <v>47.1</v>
      </c>
      <c r="E368">
        <v>3.68</v>
      </c>
      <c r="F368">
        <v>103620</v>
      </c>
      <c r="G368">
        <v>1886</v>
      </c>
    </row>
    <row r="369" spans="1:7" x14ac:dyDescent="0.3">
      <c r="A369" t="s">
        <v>8</v>
      </c>
      <c r="B369">
        <v>13</v>
      </c>
      <c r="C369">
        <v>697</v>
      </c>
      <c r="D369">
        <v>3.6</v>
      </c>
      <c r="E369">
        <v>1.76</v>
      </c>
      <c r="F369">
        <v>4320</v>
      </c>
      <c r="G369">
        <v>917</v>
      </c>
    </row>
    <row r="370" spans="1:7" x14ac:dyDescent="0.3">
      <c r="A370" t="s">
        <v>9</v>
      </c>
      <c r="B370">
        <v>5407</v>
      </c>
      <c r="C370">
        <v>5374972</v>
      </c>
      <c r="D370">
        <v>73.599999999999994</v>
      </c>
      <c r="E370">
        <v>4.4000000000000004</v>
      </c>
      <c r="F370">
        <v>161920</v>
      </c>
      <c r="G370">
        <v>2132</v>
      </c>
    </row>
    <row r="371" spans="1:7" x14ac:dyDescent="0.3">
      <c r="A371" t="s">
        <v>8</v>
      </c>
      <c r="B371">
        <v>409</v>
      </c>
      <c r="C371">
        <v>188800</v>
      </c>
      <c r="D371">
        <v>20.100000000000001</v>
      </c>
      <c r="E371">
        <v>2.76</v>
      </c>
      <c r="F371">
        <v>24120</v>
      </c>
      <c r="G371">
        <v>903</v>
      </c>
    </row>
    <row r="372" spans="1:7" x14ac:dyDescent="0.3">
      <c r="A372" t="s">
        <v>7</v>
      </c>
      <c r="B372">
        <v>380</v>
      </c>
      <c r="C372">
        <v>153528</v>
      </c>
      <c r="D372">
        <v>19.5</v>
      </c>
      <c r="E372">
        <v>3.82</v>
      </c>
      <c r="F372">
        <v>11700</v>
      </c>
      <c r="G372">
        <v>772</v>
      </c>
    </row>
    <row r="373" spans="1:7" x14ac:dyDescent="0.3">
      <c r="A373" t="s">
        <v>9</v>
      </c>
      <c r="B373">
        <v>745</v>
      </c>
      <c r="C373">
        <v>416397</v>
      </c>
      <c r="D373">
        <v>27.3</v>
      </c>
      <c r="E373">
        <v>1.1299999999999999</v>
      </c>
      <c r="F373">
        <v>60060</v>
      </c>
      <c r="G373">
        <v>711</v>
      </c>
    </row>
    <row r="374" spans="1:7" x14ac:dyDescent="0.3">
      <c r="A374" t="s">
        <v>7</v>
      </c>
      <c r="B374">
        <v>12</v>
      </c>
      <c r="C374">
        <v>741</v>
      </c>
      <c r="D374">
        <v>3.5</v>
      </c>
      <c r="E374">
        <v>1.05</v>
      </c>
      <c r="F374">
        <v>2100</v>
      </c>
      <c r="G374">
        <v>734</v>
      </c>
    </row>
    <row r="375" spans="1:7" x14ac:dyDescent="0.3">
      <c r="A375" t="s">
        <v>9</v>
      </c>
      <c r="B375">
        <v>508</v>
      </c>
      <c r="C375">
        <v>214787</v>
      </c>
      <c r="D375">
        <v>22.5</v>
      </c>
      <c r="E375">
        <v>3.14</v>
      </c>
      <c r="F375">
        <v>49500</v>
      </c>
      <c r="G375">
        <v>988</v>
      </c>
    </row>
    <row r="376" spans="1:7" x14ac:dyDescent="0.3">
      <c r="A376" t="s">
        <v>8</v>
      </c>
      <c r="B376">
        <v>93</v>
      </c>
      <c r="C376">
        <v>14608</v>
      </c>
      <c r="D376">
        <v>9.6</v>
      </c>
      <c r="E376">
        <v>4.21</v>
      </c>
      <c r="F376">
        <v>11520</v>
      </c>
      <c r="G376">
        <v>211</v>
      </c>
    </row>
    <row r="377" spans="1:7" x14ac:dyDescent="0.3">
      <c r="A377" t="s">
        <v>9</v>
      </c>
      <c r="B377">
        <v>53</v>
      </c>
      <c r="C377">
        <v>7190</v>
      </c>
      <c r="D377">
        <v>7.3</v>
      </c>
      <c r="E377">
        <v>3.4</v>
      </c>
      <c r="F377">
        <v>16060</v>
      </c>
      <c r="G377">
        <v>577</v>
      </c>
    </row>
    <row r="378" spans="1:7" x14ac:dyDescent="0.3">
      <c r="A378" t="s">
        <v>8</v>
      </c>
      <c r="B378">
        <v>1741</v>
      </c>
      <c r="C378">
        <v>1662813</v>
      </c>
      <c r="D378">
        <v>41.9</v>
      </c>
      <c r="E378">
        <v>2.94</v>
      </c>
      <c r="F378">
        <v>50280</v>
      </c>
      <c r="G378">
        <v>1435</v>
      </c>
    </row>
    <row r="379" spans="1:7" x14ac:dyDescent="0.3">
      <c r="A379" t="s">
        <v>8</v>
      </c>
      <c r="B379">
        <v>414</v>
      </c>
      <c r="C379">
        <v>223626</v>
      </c>
      <c r="D379">
        <v>20.399999999999999</v>
      </c>
      <c r="E379">
        <v>4.7699999999999996</v>
      </c>
      <c r="F379">
        <v>24480</v>
      </c>
      <c r="G379">
        <v>1125</v>
      </c>
    </row>
    <row r="380" spans="1:7" x14ac:dyDescent="0.3">
      <c r="A380" t="s">
        <v>8</v>
      </c>
      <c r="B380">
        <v>503</v>
      </c>
      <c r="C380">
        <v>319148</v>
      </c>
      <c r="D380">
        <v>22.4</v>
      </c>
      <c r="E380">
        <v>2.68</v>
      </c>
      <c r="F380">
        <v>26880</v>
      </c>
      <c r="G380">
        <v>499</v>
      </c>
    </row>
    <row r="381" spans="1:7" x14ac:dyDescent="0.3">
      <c r="A381" t="s">
        <v>9</v>
      </c>
      <c r="B381">
        <v>692</v>
      </c>
      <c r="C381">
        <v>316823</v>
      </c>
      <c r="D381">
        <v>26.2</v>
      </c>
      <c r="E381">
        <v>2.02</v>
      </c>
      <c r="F381">
        <v>57640</v>
      </c>
      <c r="G381">
        <v>1166</v>
      </c>
    </row>
    <row r="382" spans="1:7" x14ac:dyDescent="0.3">
      <c r="A382" t="s">
        <v>8</v>
      </c>
      <c r="B382">
        <v>934</v>
      </c>
      <c r="C382">
        <v>740092</v>
      </c>
      <c r="D382">
        <v>30.5</v>
      </c>
      <c r="E382">
        <v>2.5</v>
      </c>
      <c r="F382">
        <v>36600</v>
      </c>
      <c r="G382">
        <v>988</v>
      </c>
    </row>
    <row r="383" spans="1:7" x14ac:dyDescent="0.3">
      <c r="A383" t="s">
        <v>8</v>
      </c>
      <c r="B383">
        <v>359</v>
      </c>
      <c r="C383">
        <v>135210</v>
      </c>
      <c r="D383">
        <v>19</v>
      </c>
      <c r="E383">
        <v>3.31</v>
      </c>
      <c r="F383">
        <v>22800</v>
      </c>
      <c r="G383">
        <v>1336</v>
      </c>
    </row>
    <row r="384" spans="1:7" x14ac:dyDescent="0.3">
      <c r="A384" t="s">
        <v>8</v>
      </c>
      <c r="B384">
        <v>166</v>
      </c>
      <c r="C384">
        <v>38578</v>
      </c>
      <c r="D384">
        <v>12.9</v>
      </c>
      <c r="E384">
        <v>2.36</v>
      </c>
      <c r="F384">
        <v>15480</v>
      </c>
      <c r="G384">
        <v>594</v>
      </c>
    </row>
    <row r="385" spans="1:7" x14ac:dyDescent="0.3">
      <c r="A385" t="s">
        <v>8</v>
      </c>
      <c r="B385">
        <v>1071</v>
      </c>
      <c r="C385">
        <v>888389</v>
      </c>
      <c r="D385">
        <v>32.799999999999997</v>
      </c>
      <c r="E385">
        <v>3.32</v>
      </c>
      <c r="F385">
        <v>39360</v>
      </c>
      <c r="G385">
        <v>1354</v>
      </c>
    </row>
    <row r="386" spans="1:7" x14ac:dyDescent="0.3">
      <c r="A386" t="s">
        <v>9</v>
      </c>
      <c r="B386">
        <v>2548</v>
      </c>
      <c r="C386">
        <v>2097170</v>
      </c>
      <c r="D386">
        <v>50.6</v>
      </c>
      <c r="E386">
        <v>2.19</v>
      </c>
      <c r="F386">
        <v>111320</v>
      </c>
      <c r="G386">
        <v>1458</v>
      </c>
    </row>
    <row r="387" spans="1:7" x14ac:dyDescent="0.3">
      <c r="A387" t="s">
        <v>8</v>
      </c>
      <c r="B387">
        <v>632</v>
      </c>
      <c r="C387">
        <v>268663</v>
      </c>
      <c r="D387">
        <v>25.1</v>
      </c>
      <c r="E387">
        <v>3.36</v>
      </c>
      <c r="F387">
        <v>30120</v>
      </c>
      <c r="G387">
        <v>1115</v>
      </c>
    </row>
    <row r="388" spans="1:7" x14ac:dyDescent="0.3">
      <c r="A388" t="s">
        <v>7</v>
      </c>
      <c r="B388">
        <v>404</v>
      </c>
      <c r="C388">
        <v>201910</v>
      </c>
      <c r="D388">
        <v>20.100000000000001</v>
      </c>
      <c r="E388">
        <v>1.27</v>
      </c>
      <c r="F388">
        <v>12060</v>
      </c>
      <c r="G388">
        <v>447</v>
      </c>
    </row>
    <row r="389" spans="1:7" x14ac:dyDescent="0.3">
      <c r="A389" t="s">
        <v>7</v>
      </c>
      <c r="B389">
        <v>234</v>
      </c>
      <c r="C389">
        <v>64820</v>
      </c>
      <c r="D389">
        <v>15.3</v>
      </c>
      <c r="E389">
        <v>2.61</v>
      </c>
      <c r="F389">
        <v>9180</v>
      </c>
      <c r="G389">
        <v>1312</v>
      </c>
    </row>
    <row r="390" spans="1:7" x14ac:dyDescent="0.3">
      <c r="A390" t="s">
        <v>8</v>
      </c>
      <c r="B390">
        <v>111</v>
      </c>
      <c r="C390">
        <v>18301</v>
      </c>
      <c r="D390">
        <v>10.5</v>
      </c>
      <c r="E390">
        <v>3.68</v>
      </c>
      <c r="F390">
        <v>12600</v>
      </c>
      <c r="G390">
        <v>817</v>
      </c>
    </row>
    <row r="391" spans="1:7" x14ac:dyDescent="0.3">
      <c r="A391" t="s">
        <v>7</v>
      </c>
      <c r="B391">
        <v>539</v>
      </c>
      <c r="C391">
        <v>177250</v>
      </c>
      <c r="D391">
        <v>23.2</v>
      </c>
      <c r="E391">
        <v>3.12</v>
      </c>
      <c r="F391">
        <v>13920</v>
      </c>
      <c r="G391">
        <v>344</v>
      </c>
    </row>
    <row r="392" spans="1:7" x14ac:dyDescent="0.3">
      <c r="A392" t="s">
        <v>8</v>
      </c>
      <c r="B392">
        <v>266</v>
      </c>
      <c r="C392">
        <v>62102</v>
      </c>
      <c r="D392">
        <v>16.3</v>
      </c>
      <c r="E392">
        <v>1.54</v>
      </c>
      <c r="F392">
        <v>19560</v>
      </c>
      <c r="G392">
        <v>1249</v>
      </c>
    </row>
    <row r="393" spans="1:7" x14ac:dyDescent="0.3">
      <c r="A393" t="s">
        <v>8</v>
      </c>
      <c r="B393">
        <v>876</v>
      </c>
      <c r="C393">
        <v>431027</v>
      </c>
      <c r="D393">
        <v>29.6</v>
      </c>
      <c r="E393">
        <v>3.7</v>
      </c>
      <c r="F393">
        <v>35520</v>
      </c>
      <c r="G393">
        <v>735</v>
      </c>
    </row>
    <row r="394" spans="1:7" x14ac:dyDescent="0.3">
      <c r="A394" t="s">
        <v>9</v>
      </c>
      <c r="B394">
        <v>176</v>
      </c>
      <c r="C394">
        <v>48288</v>
      </c>
      <c r="D394">
        <v>13.3</v>
      </c>
      <c r="E394">
        <v>3.14</v>
      </c>
      <c r="F394">
        <v>29260</v>
      </c>
      <c r="G394">
        <v>840</v>
      </c>
    </row>
    <row r="395" spans="1:7" x14ac:dyDescent="0.3">
      <c r="A395" t="s">
        <v>7</v>
      </c>
      <c r="B395">
        <v>43</v>
      </c>
      <c r="C395">
        <v>6507</v>
      </c>
      <c r="D395">
        <v>6.6</v>
      </c>
      <c r="E395">
        <v>1.0900000000000001</v>
      </c>
      <c r="F395">
        <v>3960</v>
      </c>
      <c r="G395">
        <v>609</v>
      </c>
    </row>
    <row r="396" spans="1:7" x14ac:dyDescent="0.3">
      <c r="A396" t="s">
        <v>7</v>
      </c>
      <c r="B396">
        <v>56</v>
      </c>
      <c r="C396">
        <v>8990</v>
      </c>
      <c r="D396">
        <v>7.5</v>
      </c>
      <c r="E396">
        <v>2.42</v>
      </c>
      <c r="F396">
        <v>4500</v>
      </c>
      <c r="G396">
        <v>611</v>
      </c>
    </row>
    <row r="397" spans="1:7" x14ac:dyDescent="0.3">
      <c r="A397" t="s">
        <v>7</v>
      </c>
      <c r="B397">
        <v>11</v>
      </c>
      <c r="C397">
        <v>783</v>
      </c>
      <c r="D397">
        <v>3.3</v>
      </c>
      <c r="E397">
        <v>4.42</v>
      </c>
      <c r="F397">
        <v>1980</v>
      </c>
      <c r="G397">
        <v>822</v>
      </c>
    </row>
    <row r="398" spans="1:7" x14ac:dyDescent="0.3">
      <c r="A398" t="s">
        <v>9</v>
      </c>
      <c r="B398">
        <v>2329</v>
      </c>
      <c r="C398">
        <v>2643542</v>
      </c>
      <c r="D398">
        <v>48.3</v>
      </c>
      <c r="E398">
        <v>1.27</v>
      </c>
      <c r="F398">
        <v>106260</v>
      </c>
      <c r="G398">
        <v>1400</v>
      </c>
    </row>
    <row r="399" spans="1:7" x14ac:dyDescent="0.3">
      <c r="A399" t="s">
        <v>7</v>
      </c>
      <c r="B399">
        <v>395</v>
      </c>
      <c r="C399">
        <v>188808</v>
      </c>
      <c r="D399">
        <v>19.899999999999999</v>
      </c>
      <c r="E399">
        <v>1.08</v>
      </c>
      <c r="F399">
        <v>11940</v>
      </c>
      <c r="G399">
        <v>1011</v>
      </c>
    </row>
    <row r="400" spans="1:7" x14ac:dyDescent="0.3">
      <c r="A400" t="s">
        <v>8</v>
      </c>
      <c r="B400">
        <v>122</v>
      </c>
      <c r="C400">
        <v>27727</v>
      </c>
      <c r="D400">
        <v>11</v>
      </c>
      <c r="E400">
        <v>2.79</v>
      </c>
      <c r="F400">
        <v>13200</v>
      </c>
      <c r="G400">
        <v>1023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D7D5-9A8E-430A-BC68-980BF007A0BA}">
  <dimension ref="A1:P400"/>
  <sheetViews>
    <sheetView topLeftCell="D2" workbookViewId="0">
      <selection activeCell="L6" sqref="L6"/>
    </sheetView>
  </sheetViews>
  <sheetFormatPr defaultRowHeight="14.4" x14ac:dyDescent="0.3"/>
  <cols>
    <col min="3" max="3" width="11" bestFit="1" customWidth="1"/>
    <col min="5" max="5" width="11" customWidth="1"/>
    <col min="7" max="7" width="12.5546875" customWidth="1"/>
    <col min="9" max="9" width="16.21875" customWidth="1"/>
    <col min="10" max="10" width="11" bestFit="1" customWidth="1"/>
    <col min="12" max="12" width="12" bestFit="1" customWidth="1"/>
    <col min="13" max="13" width="12.44140625" customWidth="1"/>
    <col min="14" max="14" width="16.6640625" customWidth="1"/>
  </cols>
  <sheetData>
    <row r="1" spans="1:16" x14ac:dyDescent="0.3">
      <c r="A1" t="s">
        <v>2</v>
      </c>
      <c r="B1" t="s">
        <v>6</v>
      </c>
      <c r="C1" t="s">
        <v>15</v>
      </c>
      <c r="D1" t="s">
        <v>16</v>
      </c>
      <c r="E1" t="s">
        <v>17</v>
      </c>
      <c r="F1" t="s">
        <v>24</v>
      </c>
      <c r="G1" t="s">
        <v>25</v>
      </c>
      <c r="H1" t="s">
        <v>18</v>
      </c>
      <c r="I1" t="s">
        <v>19</v>
      </c>
      <c r="J1" t="s">
        <v>10</v>
      </c>
      <c r="K1" t="s">
        <v>11</v>
      </c>
      <c r="L1" t="s">
        <v>14</v>
      </c>
      <c r="M1" t="s">
        <v>12</v>
      </c>
      <c r="N1" t="s">
        <v>13</v>
      </c>
    </row>
    <row r="2" spans="1:16" x14ac:dyDescent="0.3">
      <c r="A2">
        <v>70142</v>
      </c>
      <c r="B2">
        <v>1060</v>
      </c>
      <c r="C2">
        <f>PRODUCT(A2,A2)</f>
        <v>4919900164</v>
      </c>
      <c r="D2">
        <f>PRODUCT(A2,B2)</f>
        <v>74350520</v>
      </c>
      <c r="E2">
        <f>804.3486+PRODUCT(0.000254,A2)</f>
        <v>822.16466800000001</v>
      </c>
      <c r="F2">
        <f>B2-E2</f>
        <v>237.83533199999999</v>
      </c>
      <c r="G2">
        <f>PRODUCT(F2,F2)</f>
        <v>56565.645147550218</v>
      </c>
      <c r="H2">
        <f>B2-886.1604</f>
        <v>173.83960000000002</v>
      </c>
      <c r="I2">
        <f>PRODUCT(H2,H2)</f>
        <v>30220.206528160008</v>
      </c>
      <c r="J2">
        <f>SUM(A2:A400)/COUNT(A2:A400)</f>
        <v>321621.66666666669</v>
      </c>
      <c r="K2">
        <f>SUM(B2:B400)/COUNT(B2:B400)</f>
        <v>886.16040100250632</v>
      </c>
      <c r="L2">
        <f>SUM(C2:C400)/COUNT(C2:C400)</f>
        <v>756192761421.9574</v>
      </c>
      <c r="M2">
        <f>SUM(D2:D400)/COUNT(D2:D400)</f>
        <v>451050819.18796992</v>
      </c>
      <c r="N2">
        <f>PRODUCT(J2,J2)</f>
        <v>103440496469.44446</v>
      </c>
    </row>
    <row r="3" spans="1:16" x14ac:dyDescent="0.3">
      <c r="A3">
        <v>9733</v>
      </c>
      <c r="B3">
        <v>691</v>
      </c>
      <c r="C3">
        <f t="shared" ref="C3:C66" si="0">PRODUCT(A3,A3)</f>
        <v>94731289</v>
      </c>
      <c r="D3">
        <f t="shared" ref="D3:D66" si="1">PRODUCT(A3,B3)</f>
        <v>6725503</v>
      </c>
      <c r="E3">
        <f t="shared" ref="E3:E66" si="2">804.3486+PRODUCT(0.000254,A3)</f>
        <v>806.82078200000001</v>
      </c>
      <c r="F3">
        <f t="shared" ref="F3:F66" si="3">B3-E3</f>
        <v>-115.82078200000001</v>
      </c>
      <c r="G3">
        <f t="shared" ref="G3:G66" si="4">PRODUCT(F3,F3)</f>
        <v>13414.453543091526</v>
      </c>
      <c r="H3">
        <f t="shared" ref="H3:H66" si="5">B3-886.1604</f>
        <v>-195.16039999999998</v>
      </c>
      <c r="I3">
        <f t="shared" ref="I3:I66" si="6">PRODUCT(H3,H3)</f>
        <v>38087.581728159996</v>
      </c>
    </row>
    <row r="4" spans="1:16" x14ac:dyDescent="0.3">
      <c r="A4">
        <v>5195</v>
      </c>
      <c r="B4">
        <v>589</v>
      </c>
      <c r="C4">
        <f t="shared" si="0"/>
        <v>26988025</v>
      </c>
      <c r="D4">
        <f t="shared" si="1"/>
        <v>3059855</v>
      </c>
      <c r="E4">
        <f t="shared" si="2"/>
        <v>805.66813000000002</v>
      </c>
      <c r="F4">
        <f t="shared" si="3"/>
        <v>-216.66813000000002</v>
      </c>
      <c r="G4">
        <f t="shared" si="4"/>
        <v>46945.078557696907</v>
      </c>
      <c r="H4">
        <f t="shared" si="5"/>
        <v>-297.16039999999998</v>
      </c>
      <c r="I4">
        <f t="shared" si="6"/>
        <v>88304.303328159993</v>
      </c>
    </row>
    <row r="5" spans="1:16" x14ac:dyDescent="0.3">
      <c r="A5">
        <v>211409</v>
      </c>
      <c r="B5">
        <v>692</v>
      </c>
      <c r="C5">
        <f t="shared" si="0"/>
        <v>44693765281</v>
      </c>
      <c r="D5">
        <f t="shared" si="1"/>
        <v>146295028</v>
      </c>
      <c r="E5">
        <f t="shared" si="2"/>
        <v>858.04648600000007</v>
      </c>
      <c r="F5">
        <f t="shared" si="3"/>
        <v>-166.04648600000007</v>
      </c>
      <c r="G5">
        <f t="shared" si="4"/>
        <v>27571.435512948221</v>
      </c>
      <c r="H5">
        <f t="shared" si="5"/>
        <v>-194.16039999999998</v>
      </c>
      <c r="I5">
        <f t="shared" si="6"/>
        <v>37698.260928159994</v>
      </c>
    </row>
    <row r="6" spans="1:16" x14ac:dyDescent="0.3">
      <c r="A6">
        <v>9168</v>
      </c>
      <c r="B6">
        <v>741</v>
      </c>
      <c r="C6">
        <f t="shared" si="0"/>
        <v>84052224</v>
      </c>
      <c r="D6">
        <f t="shared" si="1"/>
        <v>6793488</v>
      </c>
      <c r="E6">
        <f t="shared" si="2"/>
        <v>806.67727200000002</v>
      </c>
      <c r="F6">
        <f t="shared" si="3"/>
        <v>-65.677272000000016</v>
      </c>
      <c r="G6">
        <f t="shared" si="4"/>
        <v>4313.5040573619863</v>
      </c>
      <c r="H6">
        <f t="shared" si="5"/>
        <v>-145.16039999999998</v>
      </c>
      <c r="I6">
        <f t="shared" si="6"/>
        <v>21071.541728159995</v>
      </c>
    </row>
    <row r="7" spans="1:16" x14ac:dyDescent="0.3">
      <c r="A7">
        <v>16100</v>
      </c>
      <c r="B7">
        <v>684</v>
      </c>
      <c r="C7">
        <f t="shared" si="0"/>
        <v>259210000</v>
      </c>
      <c r="D7">
        <f t="shared" si="1"/>
        <v>11012400</v>
      </c>
      <c r="E7">
        <f t="shared" si="2"/>
        <v>808.43799999999999</v>
      </c>
      <c r="F7">
        <f t="shared" si="3"/>
        <v>-124.43799999999999</v>
      </c>
      <c r="G7">
        <f t="shared" si="4"/>
        <v>15484.815843999997</v>
      </c>
      <c r="H7">
        <f t="shared" si="5"/>
        <v>-202.16039999999998</v>
      </c>
      <c r="I7">
        <f t="shared" si="6"/>
        <v>40868.82732815999</v>
      </c>
    </row>
    <row r="8" spans="1:16" x14ac:dyDescent="0.3">
      <c r="A8">
        <v>33723</v>
      </c>
      <c r="B8">
        <v>1046</v>
      </c>
      <c r="C8">
        <f t="shared" si="0"/>
        <v>1137240729</v>
      </c>
      <c r="D8">
        <f t="shared" si="1"/>
        <v>35274258</v>
      </c>
      <c r="E8">
        <f t="shared" si="2"/>
        <v>812.91424200000006</v>
      </c>
      <c r="F8">
        <f t="shared" si="3"/>
        <v>233.08575799999994</v>
      </c>
      <c r="G8">
        <f t="shared" si="4"/>
        <v>54328.970582434536</v>
      </c>
      <c r="H8">
        <f t="shared" si="5"/>
        <v>159.83960000000002</v>
      </c>
      <c r="I8">
        <f t="shared" si="6"/>
        <v>25548.697728160005</v>
      </c>
      <c r="J8" t="s">
        <v>22</v>
      </c>
      <c r="K8" t="s">
        <v>23</v>
      </c>
    </row>
    <row r="9" spans="1:16" x14ac:dyDescent="0.3">
      <c r="A9">
        <v>282138</v>
      </c>
      <c r="B9">
        <v>624</v>
      </c>
      <c r="C9">
        <f t="shared" si="0"/>
        <v>79601851044</v>
      </c>
      <c r="D9">
        <f t="shared" si="1"/>
        <v>176054112</v>
      </c>
      <c r="E9">
        <f t="shared" si="2"/>
        <v>876.01165200000003</v>
      </c>
      <c r="F9">
        <f t="shared" si="3"/>
        <v>-252.01165200000003</v>
      </c>
      <c r="G9">
        <f t="shared" si="4"/>
        <v>63509.87274376912</v>
      </c>
      <c r="H9">
        <f t="shared" si="5"/>
        <v>-262.16039999999998</v>
      </c>
      <c r="I9">
        <f t="shared" si="6"/>
        <v>68728.07532815999</v>
      </c>
      <c r="J9">
        <f>(M2-PRODUCT(J2,K2))/(L2-N2)</f>
        <v>2.5437281951924223E-4</v>
      </c>
      <c r="K9">
        <f>K2-PRODUCT(J9,J2)</f>
        <v>804.34859083402841</v>
      </c>
      <c r="N9" t="s">
        <v>20</v>
      </c>
      <c r="O9" t="s">
        <v>21</v>
      </c>
      <c r="P9" s="1">
        <v>2</v>
      </c>
    </row>
    <row r="10" spans="1:16" x14ac:dyDescent="0.3">
      <c r="A10">
        <v>117675</v>
      </c>
      <c r="B10">
        <v>812</v>
      </c>
      <c r="C10">
        <f t="shared" si="0"/>
        <v>13847405625</v>
      </c>
      <c r="D10">
        <f t="shared" si="1"/>
        <v>95552100</v>
      </c>
      <c r="E10">
        <f t="shared" si="2"/>
        <v>834.23805000000004</v>
      </c>
      <c r="F10">
        <f t="shared" si="3"/>
        <v>-22.238050000000044</v>
      </c>
      <c r="G10">
        <f t="shared" si="4"/>
        <v>494.53086780250197</v>
      </c>
      <c r="H10">
        <f t="shared" si="5"/>
        <v>-74.160399999999981</v>
      </c>
      <c r="I10">
        <f t="shared" si="6"/>
        <v>5499.764928159997</v>
      </c>
      <c r="N10">
        <f>SUM(G2:G400)</f>
        <v>32350997.506024372</v>
      </c>
      <c r="O10">
        <f>SUM(I2:I400)</f>
        <v>49203391.734335825</v>
      </c>
      <c r="P10">
        <f>1-(N10/O10)</f>
        <v>0.34250472648923658</v>
      </c>
    </row>
    <row r="11" spans="1:16" x14ac:dyDescent="0.3">
      <c r="A11">
        <v>8271</v>
      </c>
      <c r="B11">
        <v>816</v>
      </c>
      <c r="C11">
        <f t="shared" si="0"/>
        <v>68409441</v>
      </c>
      <c r="D11">
        <f t="shared" si="1"/>
        <v>6749136</v>
      </c>
      <c r="E11">
        <f t="shared" si="2"/>
        <v>806.449434</v>
      </c>
      <c r="F11">
        <f t="shared" si="3"/>
        <v>9.5505660000000034</v>
      </c>
      <c r="G11">
        <f t="shared" si="4"/>
        <v>91.213310920356065</v>
      </c>
      <c r="H11">
        <f t="shared" si="5"/>
        <v>-70.160399999999981</v>
      </c>
      <c r="I11">
        <f t="shared" si="6"/>
        <v>4922.4817281599971</v>
      </c>
    </row>
    <row r="12" spans="1:16" x14ac:dyDescent="0.3">
      <c r="A12">
        <v>1072707</v>
      </c>
      <c r="B12">
        <v>1460</v>
      </c>
      <c r="C12">
        <f t="shared" si="0"/>
        <v>1150700307849</v>
      </c>
      <c r="D12">
        <f t="shared" si="1"/>
        <v>1566152220</v>
      </c>
      <c r="E12">
        <f t="shared" si="2"/>
        <v>1076.816178</v>
      </c>
      <c r="F12">
        <f t="shared" si="3"/>
        <v>383.18382199999996</v>
      </c>
      <c r="G12">
        <f t="shared" si="4"/>
        <v>146829.84144252766</v>
      </c>
      <c r="H12">
        <f t="shared" si="5"/>
        <v>573.83960000000002</v>
      </c>
      <c r="I12">
        <f t="shared" si="6"/>
        <v>329291.88652816002</v>
      </c>
    </row>
    <row r="13" spans="1:16" x14ac:dyDescent="0.3">
      <c r="A13">
        <v>63440</v>
      </c>
      <c r="B13">
        <v>772</v>
      </c>
      <c r="C13">
        <f t="shared" si="0"/>
        <v>4024633600</v>
      </c>
      <c r="D13">
        <f t="shared" si="1"/>
        <v>48975680</v>
      </c>
      <c r="E13">
        <f t="shared" si="2"/>
        <v>820.46235999999999</v>
      </c>
      <c r="F13">
        <f t="shared" si="3"/>
        <v>-48.46235999999999</v>
      </c>
      <c r="G13">
        <f t="shared" si="4"/>
        <v>2348.6003367695989</v>
      </c>
      <c r="H13">
        <f t="shared" si="5"/>
        <v>-114.16039999999998</v>
      </c>
      <c r="I13">
        <f t="shared" si="6"/>
        <v>13032.596928159996</v>
      </c>
    </row>
    <row r="14" spans="1:16" x14ac:dyDescent="0.3">
      <c r="A14">
        <v>696962</v>
      </c>
      <c r="B14">
        <v>1541</v>
      </c>
      <c r="C14">
        <f t="shared" si="0"/>
        <v>485756029444</v>
      </c>
      <c r="D14">
        <f t="shared" si="1"/>
        <v>1074018442</v>
      </c>
      <c r="E14">
        <f t="shared" si="2"/>
        <v>981.37694800000008</v>
      </c>
      <c r="F14">
        <f t="shared" si="3"/>
        <v>559.62305199999992</v>
      </c>
      <c r="G14">
        <f t="shared" si="4"/>
        <v>313177.96032979462</v>
      </c>
      <c r="H14">
        <f t="shared" si="5"/>
        <v>654.83960000000002</v>
      </c>
      <c r="I14">
        <f t="shared" si="6"/>
        <v>428814.90172816004</v>
      </c>
    </row>
    <row r="15" spans="1:16" x14ac:dyDescent="0.3">
      <c r="A15">
        <v>99115</v>
      </c>
      <c r="B15">
        <v>493</v>
      </c>
      <c r="C15">
        <f t="shared" si="0"/>
        <v>9823783225</v>
      </c>
      <c r="D15">
        <f t="shared" si="1"/>
        <v>48863695</v>
      </c>
      <c r="E15">
        <f t="shared" si="2"/>
        <v>829.52381000000003</v>
      </c>
      <c r="F15">
        <f t="shared" si="3"/>
        <v>-336.52381000000003</v>
      </c>
      <c r="G15">
        <f t="shared" si="4"/>
        <v>113248.27469691612</v>
      </c>
      <c r="H15">
        <f t="shared" si="5"/>
        <v>-393.16039999999998</v>
      </c>
      <c r="I15">
        <f t="shared" si="6"/>
        <v>154575.10012815997</v>
      </c>
    </row>
    <row r="16" spans="1:16" x14ac:dyDescent="0.3">
      <c r="A16">
        <v>7058</v>
      </c>
      <c r="B16">
        <v>644</v>
      </c>
      <c r="C16">
        <f t="shared" si="0"/>
        <v>49815364</v>
      </c>
      <c r="D16">
        <f t="shared" si="1"/>
        <v>4545352</v>
      </c>
      <c r="E16">
        <f t="shared" si="2"/>
        <v>806.14133200000003</v>
      </c>
      <c r="F16">
        <f t="shared" si="3"/>
        <v>-162.14133200000003</v>
      </c>
      <c r="G16">
        <f t="shared" si="4"/>
        <v>26289.811542734235</v>
      </c>
      <c r="H16">
        <f t="shared" si="5"/>
        <v>-242.16039999999998</v>
      </c>
      <c r="I16">
        <f t="shared" si="6"/>
        <v>58641.659328159993</v>
      </c>
    </row>
    <row r="17" spans="1:9" x14ac:dyDescent="0.3">
      <c r="A17">
        <v>2592325</v>
      </c>
      <c r="B17">
        <v>1738</v>
      </c>
      <c r="C17">
        <f t="shared" si="0"/>
        <v>6720148905625</v>
      </c>
      <c r="D17">
        <f t="shared" si="1"/>
        <v>4505460850</v>
      </c>
      <c r="E17">
        <f t="shared" si="2"/>
        <v>1462.7991500000001</v>
      </c>
      <c r="F17">
        <f t="shared" si="3"/>
        <v>275.20084999999995</v>
      </c>
      <c r="G17">
        <f t="shared" si="4"/>
        <v>75735.507840722465</v>
      </c>
      <c r="H17">
        <f t="shared" si="5"/>
        <v>851.83960000000002</v>
      </c>
      <c r="I17">
        <f t="shared" si="6"/>
        <v>725630.70412816002</v>
      </c>
    </row>
    <row r="18" spans="1:9" x14ac:dyDescent="0.3">
      <c r="A18">
        <v>64414</v>
      </c>
      <c r="B18">
        <v>618</v>
      </c>
      <c r="C18">
        <f t="shared" si="0"/>
        <v>4149163396</v>
      </c>
      <c r="D18">
        <f t="shared" si="1"/>
        <v>39807852</v>
      </c>
      <c r="E18">
        <f t="shared" si="2"/>
        <v>820.70975600000008</v>
      </c>
      <c r="F18">
        <f t="shared" si="3"/>
        <v>-202.70975600000008</v>
      </c>
      <c r="G18">
        <f t="shared" si="4"/>
        <v>41091.245177579571</v>
      </c>
      <c r="H18">
        <f t="shared" si="5"/>
        <v>-268.16039999999998</v>
      </c>
      <c r="I18">
        <f t="shared" si="6"/>
        <v>71910.000128159983</v>
      </c>
    </row>
    <row r="19" spans="1:9" x14ac:dyDescent="0.3">
      <c r="A19">
        <v>280574</v>
      </c>
      <c r="B19">
        <v>1415</v>
      </c>
      <c r="C19">
        <f t="shared" si="0"/>
        <v>78721769476</v>
      </c>
      <c r="D19">
        <f t="shared" si="1"/>
        <v>397012210</v>
      </c>
      <c r="E19">
        <f t="shared" si="2"/>
        <v>875.61439600000006</v>
      </c>
      <c r="F19">
        <f t="shared" si="3"/>
        <v>539.38560399999994</v>
      </c>
      <c r="G19">
        <f t="shared" si="4"/>
        <v>290936.82980244473</v>
      </c>
      <c r="H19">
        <f t="shared" si="5"/>
        <v>528.83960000000002</v>
      </c>
      <c r="I19">
        <f t="shared" si="6"/>
        <v>279671.32252816</v>
      </c>
    </row>
    <row r="20" spans="1:9" x14ac:dyDescent="0.3">
      <c r="A20">
        <v>23713</v>
      </c>
      <c r="B20">
        <v>753</v>
      </c>
      <c r="C20">
        <f t="shared" si="0"/>
        <v>562306369</v>
      </c>
      <c r="D20">
        <f t="shared" si="1"/>
        <v>17855889</v>
      </c>
      <c r="E20">
        <f t="shared" si="2"/>
        <v>810.37170200000003</v>
      </c>
      <c r="F20">
        <f t="shared" si="3"/>
        <v>-57.371702000000028</v>
      </c>
      <c r="G20">
        <f t="shared" si="4"/>
        <v>3291.5121903768072</v>
      </c>
      <c r="H20">
        <f t="shared" si="5"/>
        <v>-133.16039999999998</v>
      </c>
      <c r="I20">
        <f t="shared" si="6"/>
        <v>17731.692128159993</v>
      </c>
    </row>
    <row r="21" spans="1:9" x14ac:dyDescent="0.3">
      <c r="A21">
        <v>841954</v>
      </c>
      <c r="B21">
        <v>1212</v>
      </c>
      <c r="C21">
        <f t="shared" si="0"/>
        <v>708886538116</v>
      </c>
      <c r="D21">
        <f t="shared" si="1"/>
        <v>1020448248</v>
      </c>
      <c r="E21">
        <f t="shared" si="2"/>
        <v>1018.204916</v>
      </c>
      <c r="F21">
        <f t="shared" si="3"/>
        <v>193.79508399999997</v>
      </c>
      <c r="G21">
        <f t="shared" si="4"/>
        <v>37556.534582567045</v>
      </c>
      <c r="H21">
        <f t="shared" si="5"/>
        <v>325.83960000000002</v>
      </c>
      <c r="I21">
        <f t="shared" si="6"/>
        <v>106171.44492816001</v>
      </c>
    </row>
    <row r="22" spans="1:9" x14ac:dyDescent="0.3">
      <c r="A22">
        <v>218775</v>
      </c>
      <c r="B22">
        <v>578</v>
      </c>
      <c r="C22">
        <f t="shared" si="0"/>
        <v>47862500625</v>
      </c>
      <c r="D22">
        <f t="shared" si="1"/>
        <v>126451950</v>
      </c>
      <c r="E22">
        <f t="shared" si="2"/>
        <v>859.91745000000003</v>
      </c>
      <c r="F22">
        <f t="shared" si="3"/>
        <v>-281.91745000000003</v>
      </c>
      <c r="G22">
        <f t="shared" si="4"/>
        <v>79477.448614502515</v>
      </c>
      <c r="H22">
        <f t="shared" si="5"/>
        <v>-308.16039999999998</v>
      </c>
      <c r="I22">
        <f t="shared" si="6"/>
        <v>94962.832128159993</v>
      </c>
    </row>
    <row r="23" spans="1:9" x14ac:dyDescent="0.3">
      <c r="A23">
        <v>15703</v>
      </c>
      <c r="B23">
        <v>777</v>
      </c>
      <c r="C23">
        <f t="shared" si="0"/>
        <v>246584209</v>
      </c>
      <c r="D23">
        <f t="shared" si="1"/>
        <v>12201231</v>
      </c>
      <c r="E23">
        <f t="shared" si="2"/>
        <v>808.33716200000003</v>
      </c>
      <c r="F23">
        <f t="shared" si="3"/>
        <v>-31.337162000000035</v>
      </c>
      <c r="G23">
        <f t="shared" si="4"/>
        <v>982.01772221424619</v>
      </c>
      <c r="H23">
        <f t="shared" si="5"/>
        <v>-109.16039999999998</v>
      </c>
      <c r="I23">
        <f t="shared" si="6"/>
        <v>11915.992928159996</v>
      </c>
    </row>
    <row r="24" spans="1:9" x14ac:dyDescent="0.3">
      <c r="A24">
        <v>3376797</v>
      </c>
      <c r="B24">
        <v>1732</v>
      </c>
      <c r="C24">
        <f t="shared" si="0"/>
        <v>11402757979209</v>
      </c>
      <c r="D24">
        <f t="shared" si="1"/>
        <v>5848612404</v>
      </c>
      <c r="E24">
        <f t="shared" si="2"/>
        <v>1662.055038</v>
      </c>
      <c r="F24">
        <f t="shared" si="3"/>
        <v>69.944962000000032</v>
      </c>
      <c r="G24">
        <f t="shared" si="4"/>
        <v>4892.2977091814482</v>
      </c>
      <c r="H24">
        <f t="shared" si="5"/>
        <v>845.83960000000002</v>
      </c>
      <c r="I24">
        <f t="shared" si="6"/>
        <v>715444.62892816006</v>
      </c>
    </row>
    <row r="25" spans="1:9" x14ac:dyDescent="0.3">
      <c r="A25">
        <v>83972</v>
      </c>
      <c r="B25">
        <v>664</v>
      </c>
      <c r="C25">
        <f t="shared" si="0"/>
        <v>7051296784</v>
      </c>
      <c r="D25">
        <f t="shared" si="1"/>
        <v>55757408</v>
      </c>
      <c r="E25">
        <f t="shared" si="2"/>
        <v>825.67748800000004</v>
      </c>
      <c r="F25">
        <f t="shared" si="3"/>
        <v>-161.67748800000004</v>
      </c>
      <c r="G25">
        <f t="shared" si="4"/>
        <v>26139.610125990155</v>
      </c>
      <c r="H25">
        <f t="shared" si="5"/>
        <v>-222.16039999999998</v>
      </c>
      <c r="I25">
        <f t="shared" si="6"/>
        <v>49355.243328159995</v>
      </c>
    </row>
    <row r="26" spans="1:9" x14ac:dyDescent="0.3">
      <c r="A26">
        <v>119112</v>
      </c>
      <c r="B26">
        <v>858</v>
      </c>
      <c r="C26">
        <f t="shared" si="0"/>
        <v>14187668544</v>
      </c>
      <c r="D26">
        <f t="shared" si="1"/>
        <v>102198096</v>
      </c>
      <c r="E26">
        <f t="shared" si="2"/>
        <v>834.60304800000006</v>
      </c>
      <c r="F26">
        <f t="shared" si="3"/>
        <v>23.396951999999942</v>
      </c>
      <c r="G26">
        <f t="shared" si="4"/>
        <v>547.41736289030132</v>
      </c>
      <c r="H26">
        <f t="shared" si="5"/>
        <v>-28.160399999999981</v>
      </c>
      <c r="I26">
        <f t="shared" si="6"/>
        <v>793.00812815999893</v>
      </c>
    </row>
    <row r="27" spans="1:9" x14ac:dyDescent="0.3">
      <c r="A27">
        <v>763740</v>
      </c>
      <c r="B27">
        <v>1092</v>
      </c>
      <c r="C27">
        <f t="shared" si="0"/>
        <v>583298787600</v>
      </c>
      <c r="D27">
        <f t="shared" si="1"/>
        <v>834004080</v>
      </c>
      <c r="E27">
        <f t="shared" si="2"/>
        <v>998.33856000000003</v>
      </c>
      <c r="F27">
        <f t="shared" si="3"/>
        <v>93.66143999999997</v>
      </c>
      <c r="G27">
        <f t="shared" si="4"/>
        <v>8772.4653428735946</v>
      </c>
      <c r="H27">
        <f t="shared" si="5"/>
        <v>205.83960000000002</v>
      </c>
      <c r="I27">
        <f t="shared" si="6"/>
        <v>42369.940928160009</v>
      </c>
    </row>
    <row r="28" spans="1:9" x14ac:dyDescent="0.3">
      <c r="A28">
        <v>422914</v>
      </c>
      <c r="B28">
        <v>749</v>
      </c>
      <c r="C28">
        <f t="shared" si="0"/>
        <v>178856251396</v>
      </c>
      <c r="D28">
        <f t="shared" si="1"/>
        <v>316762586</v>
      </c>
      <c r="E28">
        <f t="shared" si="2"/>
        <v>911.76875600000005</v>
      </c>
      <c r="F28">
        <f t="shared" si="3"/>
        <v>-162.76875600000005</v>
      </c>
      <c r="G28">
        <f t="shared" si="4"/>
        <v>26493.667929787553</v>
      </c>
      <c r="H28">
        <f t="shared" si="5"/>
        <v>-137.16039999999998</v>
      </c>
      <c r="I28">
        <f t="shared" si="6"/>
        <v>18812.975328159995</v>
      </c>
    </row>
    <row r="29" spans="1:9" x14ac:dyDescent="0.3">
      <c r="A29">
        <v>361453</v>
      </c>
      <c r="B29">
        <v>1136</v>
      </c>
      <c r="C29">
        <f t="shared" si="0"/>
        <v>130648271209</v>
      </c>
      <c r="D29">
        <f t="shared" si="1"/>
        <v>410610608</v>
      </c>
      <c r="E29">
        <f t="shared" si="2"/>
        <v>896.15766200000007</v>
      </c>
      <c r="F29">
        <f t="shared" si="3"/>
        <v>239.84233799999993</v>
      </c>
      <c r="G29">
        <f t="shared" si="4"/>
        <v>57524.347097306207</v>
      </c>
      <c r="H29">
        <f t="shared" si="5"/>
        <v>249.83960000000002</v>
      </c>
      <c r="I29">
        <f t="shared" si="6"/>
        <v>62419.825728160009</v>
      </c>
    </row>
    <row r="30" spans="1:9" x14ac:dyDescent="0.3">
      <c r="A30">
        <v>27539</v>
      </c>
      <c r="B30">
        <v>1097</v>
      </c>
      <c r="C30">
        <f t="shared" si="0"/>
        <v>758396521</v>
      </c>
      <c r="D30">
        <f t="shared" si="1"/>
        <v>30210283</v>
      </c>
      <c r="E30">
        <f t="shared" si="2"/>
        <v>811.34350600000005</v>
      </c>
      <c r="F30">
        <f t="shared" si="3"/>
        <v>285.65649399999995</v>
      </c>
      <c r="G30">
        <f t="shared" si="4"/>
        <v>81599.632564372005</v>
      </c>
      <c r="H30">
        <f t="shared" si="5"/>
        <v>210.83960000000002</v>
      </c>
      <c r="I30">
        <f t="shared" si="6"/>
        <v>44453.33692816001</v>
      </c>
    </row>
    <row r="31" spans="1:9" x14ac:dyDescent="0.3">
      <c r="A31">
        <v>616930</v>
      </c>
      <c r="B31">
        <v>926</v>
      </c>
      <c r="C31">
        <f t="shared" si="0"/>
        <v>380602624900</v>
      </c>
      <c r="D31">
        <f t="shared" si="1"/>
        <v>571277180</v>
      </c>
      <c r="E31">
        <f t="shared" si="2"/>
        <v>961.04881999999998</v>
      </c>
      <c r="F31">
        <f t="shared" si="3"/>
        <v>-35.048819999999978</v>
      </c>
      <c r="G31">
        <f t="shared" si="4"/>
        <v>1228.4197833923984</v>
      </c>
      <c r="H31">
        <f t="shared" si="5"/>
        <v>39.839600000000019</v>
      </c>
      <c r="I31">
        <f t="shared" si="6"/>
        <v>1587.1937281600015</v>
      </c>
    </row>
    <row r="32" spans="1:9" x14ac:dyDescent="0.3">
      <c r="A32">
        <v>73593</v>
      </c>
      <c r="B32">
        <v>890</v>
      </c>
      <c r="C32">
        <f t="shared" si="0"/>
        <v>5415929649</v>
      </c>
      <c r="D32">
        <f t="shared" si="1"/>
        <v>65497770</v>
      </c>
      <c r="E32">
        <f t="shared" si="2"/>
        <v>823.04122200000006</v>
      </c>
      <c r="F32">
        <f t="shared" si="3"/>
        <v>66.958777999999938</v>
      </c>
      <c r="G32">
        <f t="shared" si="4"/>
        <v>4483.4779512532759</v>
      </c>
      <c r="H32">
        <f t="shared" si="5"/>
        <v>3.8396000000000186</v>
      </c>
      <c r="I32">
        <f t="shared" si="6"/>
        <v>14.742528160000143</v>
      </c>
    </row>
    <row r="33" spans="1:9" x14ac:dyDescent="0.3">
      <c r="A33">
        <v>101956</v>
      </c>
      <c r="B33">
        <v>500</v>
      </c>
      <c r="C33">
        <f t="shared" si="0"/>
        <v>10395025936</v>
      </c>
      <c r="D33">
        <f t="shared" si="1"/>
        <v>50978000</v>
      </c>
      <c r="E33">
        <f t="shared" si="2"/>
        <v>830.24542400000007</v>
      </c>
      <c r="F33">
        <f t="shared" si="3"/>
        <v>-330.24542400000007</v>
      </c>
      <c r="G33">
        <f t="shared" si="4"/>
        <v>109062.04007293982</v>
      </c>
      <c r="H33">
        <f t="shared" si="5"/>
        <v>-386.16039999999998</v>
      </c>
      <c r="I33">
        <f t="shared" si="6"/>
        <v>149119.85452815998</v>
      </c>
    </row>
    <row r="34" spans="1:9" x14ac:dyDescent="0.3">
      <c r="A34">
        <v>2456</v>
      </c>
      <c r="B34">
        <v>908</v>
      </c>
      <c r="C34">
        <f t="shared" si="0"/>
        <v>6031936</v>
      </c>
      <c r="D34">
        <f t="shared" si="1"/>
        <v>2230048</v>
      </c>
      <c r="E34">
        <f t="shared" si="2"/>
        <v>804.97242400000005</v>
      </c>
      <c r="F34">
        <f t="shared" si="3"/>
        <v>103.02757599999995</v>
      </c>
      <c r="G34">
        <f t="shared" si="4"/>
        <v>10614.681416435766</v>
      </c>
      <c r="H34">
        <f t="shared" si="5"/>
        <v>21.839600000000019</v>
      </c>
      <c r="I34">
        <f t="shared" si="6"/>
        <v>476.96812816000079</v>
      </c>
    </row>
    <row r="35" spans="1:9" x14ac:dyDescent="0.3">
      <c r="A35">
        <v>40923</v>
      </c>
      <c r="B35">
        <v>636</v>
      </c>
      <c r="C35">
        <f t="shared" si="0"/>
        <v>1674691929</v>
      </c>
      <c r="D35">
        <f t="shared" si="1"/>
        <v>26027028</v>
      </c>
      <c r="E35">
        <f t="shared" si="2"/>
        <v>814.74304200000006</v>
      </c>
      <c r="F35">
        <f t="shared" si="3"/>
        <v>-178.74304200000006</v>
      </c>
      <c r="G35">
        <f t="shared" si="4"/>
        <v>31949.075063413784</v>
      </c>
      <c r="H35">
        <f t="shared" si="5"/>
        <v>-250.16039999999998</v>
      </c>
      <c r="I35">
        <f t="shared" si="6"/>
        <v>62580.225728159989</v>
      </c>
    </row>
    <row r="36" spans="1:9" x14ac:dyDescent="0.3">
      <c r="A36">
        <v>28888</v>
      </c>
      <c r="B36">
        <v>606</v>
      </c>
      <c r="C36">
        <f t="shared" si="0"/>
        <v>834516544</v>
      </c>
      <c r="D36">
        <f t="shared" si="1"/>
        <v>17506128</v>
      </c>
      <c r="E36">
        <f t="shared" si="2"/>
        <v>811.68615199999999</v>
      </c>
      <c r="F36">
        <f t="shared" si="3"/>
        <v>-205.68615199999999</v>
      </c>
      <c r="G36">
        <f t="shared" si="4"/>
        <v>42306.793124567099</v>
      </c>
      <c r="H36">
        <f t="shared" si="5"/>
        <v>-280.16039999999998</v>
      </c>
      <c r="I36">
        <f t="shared" si="6"/>
        <v>78489.849728159985</v>
      </c>
    </row>
    <row r="37" spans="1:9" x14ac:dyDescent="0.3">
      <c r="A37">
        <v>8512</v>
      </c>
      <c r="B37">
        <v>919</v>
      </c>
      <c r="C37">
        <f t="shared" si="0"/>
        <v>72454144</v>
      </c>
      <c r="D37">
        <f t="shared" si="1"/>
        <v>7822528</v>
      </c>
      <c r="E37">
        <f t="shared" si="2"/>
        <v>806.51064800000006</v>
      </c>
      <c r="F37">
        <f t="shared" si="3"/>
        <v>112.48935199999994</v>
      </c>
      <c r="G37">
        <f t="shared" si="4"/>
        <v>12653.85431337989</v>
      </c>
      <c r="H37">
        <f t="shared" si="5"/>
        <v>32.839600000000019</v>
      </c>
      <c r="I37">
        <f t="shared" si="6"/>
        <v>1078.4393281600012</v>
      </c>
    </row>
    <row r="38" spans="1:9" x14ac:dyDescent="0.3">
      <c r="A38">
        <v>377986</v>
      </c>
      <c r="B38">
        <v>1240</v>
      </c>
      <c r="C38">
        <f t="shared" si="0"/>
        <v>142873416196</v>
      </c>
      <c r="D38">
        <f t="shared" si="1"/>
        <v>468702640</v>
      </c>
      <c r="E38">
        <f t="shared" si="2"/>
        <v>900.35704400000009</v>
      </c>
      <c r="F38">
        <f t="shared" si="3"/>
        <v>339.64295599999991</v>
      </c>
      <c r="G38">
        <f t="shared" si="4"/>
        <v>115357.33756041787</v>
      </c>
      <c r="H38">
        <f t="shared" si="5"/>
        <v>353.83960000000002</v>
      </c>
      <c r="I38">
        <f t="shared" si="6"/>
        <v>125202.46252816002</v>
      </c>
    </row>
    <row r="39" spans="1:9" x14ac:dyDescent="0.3">
      <c r="A39">
        <v>28579</v>
      </c>
      <c r="B39">
        <v>518</v>
      </c>
      <c r="C39">
        <f t="shared" si="0"/>
        <v>816759241</v>
      </c>
      <c r="D39">
        <f t="shared" si="1"/>
        <v>14803922</v>
      </c>
      <c r="E39">
        <f t="shared" si="2"/>
        <v>811.60766599999999</v>
      </c>
      <c r="F39">
        <f t="shared" si="3"/>
        <v>-293.60766599999999</v>
      </c>
      <c r="G39">
        <f t="shared" si="4"/>
        <v>86205.461533967551</v>
      </c>
      <c r="H39">
        <f t="shared" si="5"/>
        <v>-368.16039999999998</v>
      </c>
      <c r="I39">
        <f t="shared" si="6"/>
        <v>135542.08012815999</v>
      </c>
    </row>
    <row r="40" spans="1:9" x14ac:dyDescent="0.3">
      <c r="A40">
        <v>21810</v>
      </c>
      <c r="B40">
        <v>760</v>
      </c>
      <c r="C40">
        <f t="shared" si="0"/>
        <v>475676100</v>
      </c>
      <c r="D40">
        <f t="shared" si="1"/>
        <v>16575600</v>
      </c>
      <c r="E40">
        <f t="shared" si="2"/>
        <v>809.88834000000008</v>
      </c>
      <c r="F40">
        <f t="shared" si="3"/>
        <v>-49.888340000000085</v>
      </c>
      <c r="G40">
        <f t="shared" si="4"/>
        <v>2488.8464679556087</v>
      </c>
      <c r="H40">
        <f t="shared" si="5"/>
        <v>-126.16039999999998</v>
      </c>
      <c r="I40">
        <f t="shared" si="6"/>
        <v>15916.446528159995</v>
      </c>
    </row>
    <row r="41" spans="1:9" x14ac:dyDescent="0.3">
      <c r="A41">
        <v>412132</v>
      </c>
      <c r="B41">
        <v>1051</v>
      </c>
      <c r="C41">
        <f t="shared" si="0"/>
        <v>169852785424</v>
      </c>
      <c r="D41">
        <f t="shared" si="1"/>
        <v>433150732</v>
      </c>
      <c r="E41">
        <f t="shared" si="2"/>
        <v>909.03012799999999</v>
      </c>
      <c r="F41">
        <f t="shared" si="3"/>
        <v>141.96987200000001</v>
      </c>
      <c r="G41">
        <f t="shared" si="4"/>
        <v>20155.444555696387</v>
      </c>
      <c r="H41">
        <f t="shared" si="5"/>
        <v>164.83960000000002</v>
      </c>
      <c r="I41">
        <f t="shared" si="6"/>
        <v>27172.093728160005</v>
      </c>
    </row>
    <row r="42" spans="1:9" x14ac:dyDescent="0.3">
      <c r="A42">
        <v>44775</v>
      </c>
      <c r="B42">
        <v>881</v>
      </c>
      <c r="C42">
        <f t="shared" si="0"/>
        <v>2004800625</v>
      </c>
      <c r="D42">
        <f t="shared" si="1"/>
        <v>39446775</v>
      </c>
      <c r="E42">
        <f t="shared" si="2"/>
        <v>815.72145</v>
      </c>
      <c r="F42">
        <f t="shared" si="3"/>
        <v>65.278549999999996</v>
      </c>
      <c r="G42">
        <f t="shared" si="4"/>
        <v>4261.2890901024994</v>
      </c>
      <c r="H42">
        <f t="shared" si="5"/>
        <v>-5.1603999999999814</v>
      </c>
      <c r="I42">
        <f t="shared" si="6"/>
        <v>26.629728159999807</v>
      </c>
    </row>
    <row r="43" spans="1:9" x14ac:dyDescent="0.3">
      <c r="A43">
        <v>361748</v>
      </c>
      <c r="B43">
        <v>1307</v>
      </c>
      <c r="C43">
        <f t="shared" si="0"/>
        <v>130861615504</v>
      </c>
      <c r="D43">
        <f t="shared" si="1"/>
        <v>472804636</v>
      </c>
      <c r="E43">
        <f t="shared" si="2"/>
        <v>896.23259200000007</v>
      </c>
      <c r="F43">
        <f t="shared" si="3"/>
        <v>410.76740799999993</v>
      </c>
      <c r="G43">
        <f t="shared" si="4"/>
        <v>168729.86347503841</v>
      </c>
      <c r="H43">
        <f t="shared" si="5"/>
        <v>420.83960000000002</v>
      </c>
      <c r="I43">
        <f t="shared" si="6"/>
        <v>177105.96892816003</v>
      </c>
    </row>
    <row r="44" spans="1:9" x14ac:dyDescent="0.3">
      <c r="A44">
        <v>544184</v>
      </c>
      <c r="B44">
        <v>1005</v>
      </c>
      <c r="C44">
        <f t="shared" si="0"/>
        <v>296136225856</v>
      </c>
      <c r="D44">
        <f t="shared" si="1"/>
        <v>546904920</v>
      </c>
      <c r="E44">
        <f t="shared" si="2"/>
        <v>942.57133599999997</v>
      </c>
      <c r="F44">
        <f t="shared" si="3"/>
        <v>62.428664000000026</v>
      </c>
      <c r="G44">
        <f t="shared" si="4"/>
        <v>3897.3380888248994</v>
      </c>
      <c r="H44">
        <f t="shared" si="5"/>
        <v>118.83960000000002</v>
      </c>
      <c r="I44">
        <f t="shared" si="6"/>
        <v>14122.850528160005</v>
      </c>
    </row>
    <row r="45" spans="1:9" x14ac:dyDescent="0.3">
      <c r="A45">
        <v>69488</v>
      </c>
      <c r="B45">
        <v>666</v>
      </c>
      <c r="C45">
        <f t="shared" si="0"/>
        <v>4828582144</v>
      </c>
      <c r="D45">
        <f t="shared" si="1"/>
        <v>46279008</v>
      </c>
      <c r="E45">
        <f t="shared" si="2"/>
        <v>821.99855200000002</v>
      </c>
      <c r="F45">
        <f t="shared" si="3"/>
        <v>-155.99855200000002</v>
      </c>
      <c r="G45">
        <f t="shared" si="4"/>
        <v>24335.548226096711</v>
      </c>
      <c r="H45">
        <f t="shared" si="5"/>
        <v>-220.16039999999998</v>
      </c>
      <c r="I45">
        <f t="shared" si="6"/>
        <v>48470.601728159992</v>
      </c>
    </row>
    <row r="46" spans="1:9" x14ac:dyDescent="0.3">
      <c r="A46">
        <v>10803</v>
      </c>
      <c r="B46">
        <v>777</v>
      </c>
      <c r="C46">
        <f t="shared" si="0"/>
        <v>116704809</v>
      </c>
      <c r="D46">
        <f t="shared" si="1"/>
        <v>8393931</v>
      </c>
      <c r="E46">
        <f t="shared" si="2"/>
        <v>807.09256200000004</v>
      </c>
      <c r="F46">
        <f t="shared" si="3"/>
        <v>-30.092562000000044</v>
      </c>
      <c r="G46">
        <f t="shared" si="4"/>
        <v>905.56228772384657</v>
      </c>
      <c r="H46">
        <f t="shared" si="5"/>
        <v>-109.16039999999998</v>
      </c>
      <c r="I46">
        <f t="shared" si="6"/>
        <v>11915.992928159996</v>
      </c>
    </row>
    <row r="47" spans="1:9" x14ac:dyDescent="0.3">
      <c r="A47">
        <v>11943</v>
      </c>
      <c r="B47">
        <v>533</v>
      </c>
      <c r="C47">
        <f t="shared" si="0"/>
        <v>142635249</v>
      </c>
      <c r="D47">
        <f t="shared" si="1"/>
        <v>6365619</v>
      </c>
      <c r="E47">
        <f t="shared" si="2"/>
        <v>807.38212199999998</v>
      </c>
      <c r="F47">
        <f t="shared" si="3"/>
        <v>-274.38212199999998</v>
      </c>
      <c r="G47">
        <f t="shared" si="4"/>
        <v>75285.54887322287</v>
      </c>
      <c r="H47">
        <f t="shared" si="5"/>
        <v>-353.16039999999998</v>
      </c>
      <c r="I47">
        <f t="shared" si="6"/>
        <v>124722.26812815998</v>
      </c>
    </row>
    <row r="48" spans="1:9" x14ac:dyDescent="0.3">
      <c r="A48">
        <v>26198</v>
      </c>
      <c r="B48">
        <v>581</v>
      </c>
      <c r="C48">
        <f t="shared" si="0"/>
        <v>686335204</v>
      </c>
      <c r="D48">
        <f t="shared" si="1"/>
        <v>15221038</v>
      </c>
      <c r="E48">
        <f t="shared" si="2"/>
        <v>811.00289200000009</v>
      </c>
      <c r="F48">
        <f t="shared" si="3"/>
        <v>-230.00289200000009</v>
      </c>
      <c r="G48">
        <f t="shared" si="4"/>
        <v>52901.330328363707</v>
      </c>
      <c r="H48">
        <f t="shared" si="5"/>
        <v>-305.16039999999998</v>
      </c>
      <c r="I48">
        <f t="shared" si="6"/>
        <v>93122.869728159989</v>
      </c>
    </row>
    <row r="49" spans="1:9" x14ac:dyDescent="0.3">
      <c r="A49">
        <v>126450</v>
      </c>
      <c r="B49">
        <v>1022</v>
      </c>
      <c r="C49">
        <f t="shared" si="0"/>
        <v>15989602500</v>
      </c>
      <c r="D49">
        <f t="shared" si="1"/>
        <v>129231900</v>
      </c>
      <c r="E49">
        <f t="shared" si="2"/>
        <v>836.46690000000001</v>
      </c>
      <c r="F49">
        <f t="shared" si="3"/>
        <v>185.53309999999999</v>
      </c>
      <c r="G49">
        <f t="shared" si="4"/>
        <v>34422.531195609998</v>
      </c>
      <c r="H49">
        <f t="shared" si="5"/>
        <v>135.83960000000002</v>
      </c>
      <c r="I49">
        <f t="shared" si="6"/>
        <v>18452.396928160004</v>
      </c>
    </row>
    <row r="50" spans="1:9" x14ac:dyDescent="0.3">
      <c r="A50">
        <v>523245</v>
      </c>
      <c r="B50">
        <v>1364</v>
      </c>
      <c r="C50">
        <f t="shared" si="0"/>
        <v>273785330025</v>
      </c>
      <c r="D50">
        <f t="shared" si="1"/>
        <v>713706180</v>
      </c>
      <c r="E50">
        <f t="shared" si="2"/>
        <v>937.25283000000002</v>
      </c>
      <c r="F50">
        <f t="shared" si="3"/>
        <v>426.74716999999998</v>
      </c>
      <c r="G50">
        <f t="shared" si="4"/>
        <v>182113.14710300887</v>
      </c>
      <c r="H50">
        <f t="shared" si="5"/>
        <v>477.83960000000002</v>
      </c>
      <c r="I50">
        <f t="shared" si="6"/>
        <v>228330.68332816003</v>
      </c>
    </row>
    <row r="51" spans="1:9" x14ac:dyDescent="0.3">
      <c r="A51">
        <v>178737</v>
      </c>
      <c r="B51">
        <v>934</v>
      </c>
      <c r="C51">
        <f t="shared" si="0"/>
        <v>31946915169</v>
      </c>
      <c r="D51">
        <f t="shared" si="1"/>
        <v>166940358</v>
      </c>
      <c r="E51">
        <f t="shared" si="2"/>
        <v>849.74779799999999</v>
      </c>
      <c r="F51">
        <f t="shared" si="3"/>
        <v>84.252202000000011</v>
      </c>
      <c r="G51">
        <f t="shared" si="4"/>
        <v>7098.4335418488063</v>
      </c>
      <c r="H51">
        <f t="shared" si="5"/>
        <v>47.839600000000019</v>
      </c>
      <c r="I51">
        <f t="shared" si="6"/>
        <v>2288.627328160002</v>
      </c>
    </row>
    <row r="52" spans="1:9" x14ac:dyDescent="0.3">
      <c r="A52">
        <v>32630</v>
      </c>
      <c r="B52">
        <v>474</v>
      </c>
      <c r="C52">
        <f t="shared" si="0"/>
        <v>1064716900</v>
      </c>
      <c r="D52">
        <f t="shared" si="1"/>
        <v>15466620</v>
      </c>
      <c r="E52">
        <f t="shared" si="2"/>
        <v>812.63661999999999</v>
      </c>
      <c r="F52">
        <f t="shared" si="3"/>
        <v>-338.63661999999999</v>
      </c>
      <c r="G52">
        <f t="shared" si="4"/>
        <v>114674.7604050244</v>
      </c>
      <c r="H52">
        <f t="shared" si="5"/>
        <v>-412.16039999999998</v>
      </c>
      <c r="I52">
        <f t="shared" si="6"/>
        <v>169876.19532815999</v>
      </c>
    </row>
    <row r="53" spans="1:9" x14ac:dyDescent="0.3">
      <c r="A53">
        <v>92812</v>
      </c>
      <c r="B53">
        <v>853</v>
      </c>
      <c r="C53">
        <f t="shared" si="0"/>
        <v>8614067344</v>
      </c>
      <c r="D53">
        <f t="shared" si="1"/>
        <v>79168636</v>
      </c>
      <c r="E53">
        <f t="shared" si="2"/>
        <v>827.92284800000004</v>
      </c>
      <c r="F53">
        <f t="shared" si="3"/>
        <v>25.077151999999955</v>
      </c>
      <c r="G53">
        <f t="shared" si="4"/>
        <v>628.86355243110177</v>
      </c>
      <c r="H53">
        <f t="shared" si="5"/>
        <v>-33.160399999999981</v>
      </c>
      <c r="I53">
        <f t="shared" si="6"/>
        <v>1099.6121281599987</v>
      </c>
    </row>
    <row r="54" spans="1:9" x14ac:dyDescent="0.3">
      <c r="A54">
        <v>40146</v>
      </c>
      <c r="B54">
        <v>706</v>
      </c>
      <c r="C54">
        <f t="shared" si="0"/>
        <v>1611701316</v>
      </c>
      <c r="D54">
        <f t="shared" si="1"/>
        <v>28343076</v>
      </c>
      <c r="E54">
        <f t="shared" si="2"/>
        <v>814.54568400000005</v>
      </c>
      <c r="F54">
        <f t="shared" si="3"/>
        <v>-108.54568400000005</v>
      </c>
      <c r="G54">
        <f t="shared" si="4"/>
        <v>11782.165515027868</v>
      </c>
      <c r="H54">
        <f t="shared" si="5"/>
        <v>-180.16039999999998</v>
      </c>
      <c r="I54">
        <f t="shared" si="6"/>
        <v>32457.769728159994</v>
      </c>
    </row>
    <row r="55" spans="1:9" x14ac:dyDescent="0.3">
      <c r="A55">
        <v>232943</v>
      </c>
      <c r="B55">
        <v>1464</v>
      </c>
      <c r="C55">
        <f t="shared" si="0"/>
        <v>54262441249</v>
      </c>
      <c r="D55">
        <f t="shared" si="1"/>
        <v>341028552</v>
      </c>
      <c r="E55">
        <f t="shared" si="2"/>
        <v>863.516122</v>
      </c>
      <c r="F55">
        <f t="shared" si="3"/>
        <v>600.483878</v>
      </c>
      <c r="G55">
        <f t="shared" si="4"/>
        <v>360580.88773791888</v>
      </c>
      <c r="H55">
        <f t="shared" si="5"/>
        <v>577.83960000000002</v>
      </c>
      <c r="I55">
        <f t="shared" si="6"/>
        <v>333898.60332816001</v>
      </c>
    </row>
    <row r="56" spans="1:9" x14ac:dyDescent="0.3">
      <c r="A56">
        <v>134525</v>
      </c>
      <c r="B56">
        <v>869</v>
      </c>
      <c r="C56">
        <f t="shared" si="0"/>
        <v>18096975625</v>
      </c>
      <c r="D56">
        <f t="shared" si="1"/>
        <v>116902225</v>
      </c>
      <c r="E56">
        <f t="shared" si="2"/>
        <v>838.51795000000004</v>
      </c>
      <c r="F56">
        <f t="shared" si="3"/>
        <v>30.482049999999958</v>
      </c>
      <c r="G56">
        <f t="shared" si="4"/>
        <v>929.15537220249746</v>
      </c>
      <c r="H56">
        <f t="shared" si="5"/>
        <v>-17.160399999999981</v>
      </c>
      <c r="I56">
        <f t="shared" si="6"/>
        <v>294.47932815999934</v>
      </c>
    </row>
    <row r="57" spans="1:9" x14ac:dyDescent="0.3">
      <c r="A57">
        <v>51104</v>
      </c>
      <c r="B57">
        <v>1195</v>
      </c>
      <c r="C57">
        <f t="shared" si="0"/>
        <v>2611618816</v>
      </c>
      <c r="D57">
        <f t="shared" si="1"/>
        <v>61069280</v>
      </c>
      <c r="E57">
        <f t="shared" si="2"/>
        <v>817.32901600000002</v>
      </c>
      <c r="F57">
        <f t="shared" si="3"/>
        <v>377.67098399999998</v>
      </c>
      <c r="G57">
        <f t="shared" si="4"/>
        <v>142635.37215552822</v>
      </c>
      <c r="H57">
        <f t="shared" si="5"/>
        <v>308.83960000000002</v>
      </c>
      <c r="I57">
        <f t="shared" si="6"/>
        <v>95381.898528160018</v>
      </c>
    </row>
    <row r="58" spans="1:9" x14ac:dyDescent="0.3">
      <c r="A58">
        <v>166937</v>
      </c>
      <c r="B58">
        <v>776</v>
      </c>
      <c r="C58">
        <f t="shared" si="0"/>
        <v>27867961969</v>
      </c>
      <c r="D58">
        <f t="shared" si="1"/>
        <v>129543112</v>
      </c>
      <c r="E58">
        <f t="shared" si="2"/>
        <v>846.75059800000008</v>
      </c>
      <c r="F58">
        <f t="shared" si="3"/>
        <v>-70.750598000000082</v>
      </c>
      <c r="G58">
        <f t="shared" si="4"/>
        <v>5005.6471173576156</v>
      </c>
      <c r="H58">
        <f t="shared" si="5"/>
        <v>-110.16039999999998</v>
      </c>
      <c r="I58">
        <f t="shared" si="6"/>
        <v>12135.313728159996</v>
      </c>
    </row>
    <row r="59" spans="1:9" x14ac:dyDescent="0.3">
      <c r="A59">
        <v>26813</v>
      </c>
      <c r="B59">
        <v>1003</v>
      </c>
      <c r="C59">
        <f t="shared" si="0"/>
        <v>718936969</v>
      </c>
      <c r="D59">
        <f t="shared" si="1"/>
        <v>26893439</v>
      </c>
      <c r="E59">
        <f t="shared" si="2"/>
        <v>811.15910200000008</v>
      </c>
      <c r="F59">
        <f t="shared" si="3"/>
        <v>191.84089799999992</v>
      </c>
      <c r="G59">
        <f t="shared" si="4"/>
        <v>36802.930145446378</v>
      </c>
      <c r="H59">
        <f t="shared" si="5"/>
        <v>116.83960000000002</v>
      </c>
      <c r="I59">
        <f t="shared" si="6"/>
        <v>13651.492128160004</v>
      </c>
    </row>
    <row r="60" spans="1:9" x14ac:dyDescent="0.3">
      <c r="A60">
        <v>547</v>
      </c>
      <c r="B60">
        <v>789</v>
      </c>
      <c r="C60">
        <f t="shared" si="0"/>
        <v>299209</v>
      </c>
      <c r="D60">
        <f t="shared" si="1"/>
        <v>431583</v>
      </c>
      <c r="E60">
        <f t="shared" si="2"/>
        <v>804.48753800000009</v>
      </c>
      <c r="F60">
        <f t="shared" si="3"/>
        <v>-15.487538000000086</v>
      </c>
      <c r="G60">
        <f t="shared" si="4"/>
        <v>239.86383330144668</v>
      </c>
      <c r="H60">
        <f t="shared" si="5"/>
        <v>-97.160399999999981</v>
      </c>
      <c r="I60">
        <f t="shared" si="6"/>
        <v>9440.1433281599966</v>
      </c>
    </row>
    <row r="61" spans="1:9" x14ac:dyDescent="0.3">
      <c r="A61">
        <v>170444</v>
      </c>
      <c r="B61">
        <v>835</v>
      </c>
      <c r="C61">
        <f t="shared" si="0"/>
        <v>29051157136</v>
      </c>
      <c r="D61">
        <f t="shared" si="1"/>
        <v>142320740</v>
      </c>
      <c r="E61">
        <f t="shared" si="2"/>
        <v>847.64137600000004</v>
      </c>
      <c r="F61">
        <f t="shared" si="3"/>
        <v>-12.641376000000037</v>
      </c>
      <c r="G61">
        <f t="shared" si="4"/>
        <v>159.80438717337694</v>
      </c>
      <c r="H61">
        <f t="shared" si="5"/>
        <v>-51.160399999999981</v>
      </c>
      <c r="I61">
        <f t="shared" si="6"/>
        <v>2617.3865281599983</v>
      </c>
    </row>
    <row r="62" spans="1:9" x14ac:dyDescent="0.3">
      <c r="A62">
        <v>141974</v>
      </c>
      <c r="B62">
        <v>920</v>
      </c>
      <c r="C62">
        <f t="shared" si="0"/>
        <v>20156616676</v>
      </c>
      <c r="D62">
        <f t="shared" si="1"/>
        <v>130616080</v>
      </c>
      <c r="E62">
        <f t="shared" si="2"/>
        <v>840.40999600000009</v>
      </c>
      <c r="F62">
        <f t="shared" si="3"/>
        <v>79.590003999999908</v>
      </c>
      <c r="G62">
        <f t="shared" si="4"/>
        <v>6334.5687367200017</v>
      </c>
      <c r="H62">
        <f t="shared" si="5"/>
        <v>33.839600000000019</v>
      </c>
      <c r="I62">
        <f t="shared" si="6"/>
        <v>1145.1185281600012</v>
      </c>
    </row>
    <row r="63" spans="1:9" x14ac:dyDescent="0.3">
      <c r="A63">
        <v>49</v>
      </c>
      <c r="B63">
        <v>494</v>
      </c>
      <c r="C63">
        <f t="shared" si="0"/>
        <v>2401</v>
      </c>
      <c r="D63">
        <f t="shared" si="1"/>
        <v>24206</v>
      </c>
      <c r="E63">
        <f t="shared" si="2"/>
        <v>804.36104599999999</v>
      </c>
      <c r="F63">
        <f t="shared" si="3"/>
        <v>-310.36104599999999</v>
      </c>
      <c r="G63">
        <f t="shared" si="4"/>
        <v>96323.97887421411</v>
      </c>
      <c r="H63">
        <f t="shared" si="5"/>
        <v>-392.16039999999998</v>
      </c>
      <c r="I63">
        <f t="shared" si="6"/>
        <v>153789.77932815999</v>
      </c>
    </row>
    <row r="64" spans="1:9" x14ac:dyDescent="0.3">
      <c r="A64">
        <v>132</v>
      </c>
      <c r="B64">
        <v>289</v>
      </c>
      <c r="C64">
        <f t="shared" si="0"/>
        <v>17424</v>
      </c>
      <c r="D64">
        <f t="shared" si="1"/>
        <v>38148</v>
      </c>
      <c r="E64">
        <f t="shared" si="2"/>
        <v>804.38212800000008</v>
      </c>
      <c r="F64">
        <f t="shared" si="3"/>
        <v>-515.38212800000008</v>
      </c>
      <c r="G64">
        <f t="shared" si="4"/>
        <v>265618.73786180845</v>
      </c>
      <c r="H64">
        <f t="shared" si="5"/>
        <v>-597.16039999999998</v>
      </c>
      <c r="I64">
        <f t="shared" si="6"/>
        <v>356600.54332815995</v>
      </c>
    </row>
    <row r="65" spans="1:9" x14ac:dyDescent="0.3">
      <c r="A65">
        <v>317308</v>
      </c>
      <c r="B65">
        <v>1000</v>
      </c>
      <c r="C65">
        <f t="shared" si="0"/>
        <v>100684366864</v>
      </c>
      <c r="D65">
        <f t="shared" si="1"/>
        <v>317308000</v>
      </c>
      <c r="E65">
        <f t="shared" si="2"/>
        <v>884.94483200000002</v>
      </c>
      <c r="F65">
        <f t="shared" si="3"/>
        <v>115.05516799999998</v>
      </c>
      <c r="G65">
        <f t="shared" si="4"/>
        <v>13237.691683508219</v>
      </c>
      <c r="H65">
        <f t="shared" si="5"/>
        <v>113.83960000000002</v>
      </c>
      <c r="I65">
        <f t="shared" si="6"/>
        <v>12959.454528160004</v>
      </c>
    </row>
    <row r="66" spans="1:9" x14ac:dyDescent="0.3">
      <c r="A66">
        <v>38596</v>
      </c>
      <c r="B66">
        <v>274</v>
      </c>
      <c r="C66">
        <f t="shared" si="0"/>
        <v>1489651216</v>
      </c>
      <c r="D66">
        <f t="shared" si="1"/>
        <v>10575304</v>
      </c>
      <c r="E66">
        <f t="shared" si="2"/>
        <v>814.15198400000008</v>
      </c>
      <c r="F66">
        <f t="shared" si="3"/>
        <v>-540.15198400000008</v>
      </c>
      <c r="G66">
        <f t="shared" si="4"/>
        <v>291764.16581913637</v>
      </c>
      <c r="H66">
        <f t="shared" si="5"/>
        <v>-612.16039999999998</v>
      </c>
      <c r="I66">
        <f t="shared" si="6"/>
        <v>374740.35532815999</v>
      </c>
    </row>
    <row r="67" spans="1:9" x14ac:dyDescent="0.3">
      <c r="A67">
        <v>825218</v>
      </c>
      <c r="B67">
        <v>1430</v>
      </c>
      <c r="C67">
        <f t="shared" ref="C67:C130" si="7">PRODUCT(A67,A67)</f>
        <v>680984747524</v>
      </c>
      <c r="D67">
        <f t="shared" ref="D67:D130" si="8">PRODUCT(A67,B67)</f>
        <v>1180061740</v>
      </c>
      <c r="E67">
        <f t="shared" ref="E67:E130" si="9">804.3486+PRODUCT(0.000254,A67)</f>
        <v>1013.953972</v>
      </c>
      <c r="F67">
        <f t="shared" ref="F67:F130" si="10">B67-E67</f>
        <v>416.04602799999998</v>
      </c>
      <c r="G67">
        <f t="shared" ref="G67:G130" si="11">PRODUCT(F67,F67)</f>
        <v>173094.29741457678</v>
      </c>
      <c r="H67">
        <f t="shared" ref="H67:H130" si="12">B67-886.1604</f>
        <v>543.83960000000002</v>
      </c>
      <c r="I67">
        <f t="shared" ref="I67:I130" si="13">PRODUCT(H67,H67)</f>
        <v>295761.51052816003</v>
      </c>
    </row>
    <row r="68" spans="1:9" x14ac:dyDescent="0.3">
      <c r="A68">
        <v>90308</v>
      </c>
      <c r="B68">
        <v>687</v>
      </c>
      <c r="C68">
        <f t="shared" si="7"/>
        <v>8155534864</v>
      </c>
      <c r="D68">
        <f t="shared" si="8"/>
        <v>62041596</v>
      </c>
      <c r="E68">
        <f t="shared" si="9"/>
        <v>827.286832</v>
      </c>
      <c r="F68">
        <f t="shared" si="10"/>
        <v>-140.286832</v>
      </c>
      <c r="G68">
        <f t="shared" si="11"/>
        <v>19680.395232596224</v>
      </c>
      <c r="H68">
        <f t="shared" si="12"/>
        <v>-199.16039999999998</v>
      </c>
      <c r="I68">
        <f t="shared" si="13"/>
        <v>39664.864928159994</v>
      </c>
    </row>
    <row r="69" spans="1:9" x14ac:dyDescent="0.3">
      <c r="A69">
        <v>46604</v>
      </c>
      <c r="B69">
        <v>747</v>
      </c>
      <c r="C69">
        <f t="shared" si="7"/>
        <v>2171932816</v>
      </c>
      <c r="D69">
        <f t="shared" si="8"/>
        <v>34813188</v>
      </c>
      <c r="E69">
        <f t="shared" si="9"/>
        <v>816.186016</v>
      </c>
      <c r="F69">
        <f t="shared" si="10"/>
        <v>-69.186015999999995</v>
      </c>
      <c r="G69">
        <f t="shared" si="11"/>
        <v>4786.7048099522553</v>
      </c>
      <c r="H69">
        <f t="shared" si="12"/>
        <v>-139.16039999999998</v>
      </c>
      <c r="I69">
        <f t="shared" si="13"/>
        <v>19365.616928159994</v>
      </c>
    </row>
    <row r="70" spans="1:9" x14ac:dyDescent="0.3">
      <c r="A70">
        <v>1304816</v>
      </c>
      <c r="B70">
        <v>1504</v>
      </c>
      <c r="C70">
        <f t="shared" si="7"/>
        <v>1702544793856</v>
      </c>
      <c r="D70">
        <f t="shared" si="8"/>
        <v>1962443264</v>
      </c>
      <c r="E70">
        <f t="shared" si="9"/>
        <v>1135.7718640000001</v>
      </c>
      <c r="F70">
        <f t="shared" si="10"/>
        <v>368.22813599999995</v>
      </c>
      <c r="G70">
        <f t="shared" si="11"/>
        <v>135591.96014203446</v>
      </c>
      <c r="H70">
        <f t="shared" si="12"/>
        <v>617.83960000000002</v>
      </c>
      <c r="I70">
        <f t="shared" si="13"/>
        <v>381725.77132816002</v>
      </c>
    </row>
    <row r="71" spans="1:9" x14ac:dyDescent="0.3">
      <c r="A71">
        <v>402282</v>
      </c>
      <c r="B71">
        <v>1374</v>
      </c>
      <c r="C71">
        <f t="shared" si="7"/>
        <v>161830807524</v>
      </c>
      <c r="D71">
        <f t="shared" si="8"/>
        <v>552735468</v>
      </c>
      <c r="E71">
        <f t="shared" si="9"/>
        <v>906.52822800000001</v>
      </c>
      <c r="F71">
        <f t="shared" si="10"/>
        <v>467.47177199999999</v>
      </c>
      <c r="G71">
        <f t="shared" si="11"/>
        <v>218529.85761681997</v>
      </c>
      <c r="H71">
        <f t="shared" si="12"/>
        <v>487.83960000000002</v>
      </c>
      <c r="I71">
        <f t="shared" si="13"/>
        <v>237987.47532816001</v>
      </c>
    </row>
    <row r="72" spans="1:9" x14ac:dyDescent="0.3">
      <c r="A72">
        <v>8311</v>
      </c>
      <c r="B72">
        <v>683</v>
      </c>
      <c r="C72">
        <f t="shared" si="7"/>
        <v>69072721</v>
      </c>
      <c r="D72">
        <f t="shared" si="8"/>
        <v>5676413</v>
      </c>
      <c r="E72">
        <f t="shared" si="9"/>
        <v>806.45959400000004</v>
      </c>
      <c r="F72">
        <f t="shared" si="10"/>
        <v>-123.45959400000004</v>
      </c>
      <c r="G72">
        <f t="shared" si="11"/>
        <v>15242.271350644845</v>
      </c>
      <c r="H72">
        <f t="shared" si="12"/>
        <v>-203.16039999999998</v>
      </c>
      <c r="I72">
        <f t="shared" si="13"/>
        <v>41274.148128159992</v>
      </c>
    </row>
    <row r="73" spans="1:9" x14ac:dyDescent="0.3">
      <c r="A73">
        <v>19547</v>
      </c>
      <c r="B73">
        <v>237</v>
      </c>
      <c r="C73">
        <f t="shared" si="7"/>
        <v>382085209</v>
      </c>
      <c r="D73">
        <f t="shared" si="8"/>
        <v>4632639</v>
      </c>
      <c r="E73">
        <f t="shared" si="9"/>
        <v>809.31353799999999</v>
      </c>
      <c r="F73">
        <f t="shared" si="10"/>
        <v>-572.31353799999999</v>
      </c>
      <c r="G73">
        <f t="shared" si="11"/>
        <v>327542.78577807744</v>
      </c>
      <c r="H73">
        <f t="shared" si="12"/>
        <v>-649.16039999999998</v>
      </c>
      <c r="I73">
        <f t="shared" si="13"/>
        <v>421409.22492815997</v>
      </c>
    </row>
    <row r="74" spans="1:9" x14ac:dyDescent="0.3">
      <c r="A74">
        <v>109086</v>
      </c>
      <c r="B74">
        <v>1353</v>
      </c>
      <c r="C74">
        <f t="shared" si="7"/>
        <v>11899755396</v>
      </c>
      <c r="D74">
        <f t="shared" si="8"/>
        <v>147593358</v>
      </c>
      <c r="E74">
        <f t="shared" si="9"/>
        <v>832.05644400000006</v>
      </c>
      <c r="F74">
        <f t="shared" si="10"/>
        <v>520.94355599999994</v>
      </c>
      <c r="G74">
        <f t="shared" si="11"/>
        <v>271382.18853792507</v>
      </c>
      <c r="H74">
        <f t="shared" si="12"/>
        <v>466.83960000000002</v>
      </c>
      <c r="I74">
        <f t="shared" si="13"/>
        <v>217939.21212816003</v>
      </c>
    </row>
    <row r="75" spans="1:9" x14ac:dyDescent="0.3">
      <c r="A75">
        <v>191625</v>
      </c>
      <c r="B75">
        <v>1142</v>
      </c>
      <c r="C75">
        <f t="shared" si="7"/>
        <v>36720140625</v>
      </c>
      <c r="D75">
        <f t="shared" si="8"/>
        <v>218835750</v>
      </c>
      <c r="E75">
        <f t="shared" si="9"/>
        <v>853.02134999999998</v>
      </c>
      <c r="F75">
        <f t="shared" si="10"/>
        <v>288.97865000000002</v>
      </c>
      <c r="G75">
        <f t="shared" si="11"/>
        <v>83508.660155822508</v>
      </c>
      <c r="H75">
        <f t="shared" si="12"/>
        <v>255.83960000000002</v>
      </c>
      <c r="I75">
        <f t="shared" si="13"/>
        <v>65453.900928160008</v>
      </c>
    </row>
    <row r="76" spans="1:9" x14ac:dyDescent="0.3">
      <c r="A76">
        <v>502147</v>
      </c>
      <c r="B76">
        <v>1391</v>
      </c>
      <c r="C76">
        <f t="shared" si="7"/>
        <v>252151609609</v>
      </c>
      <c r="D76">
        <f t="shared" si="8"/>
        <v>698486477</v>
      </c>
      <c r="E76">
        <f t="shared" si="9"/>
        <v>931.89393800000005</v>
      </c>
      <c r="F76">
        <f t="shared" si="10"/>
        <v>459.10606199999995</v>
      </c>
      <c r="G76">
        <f t="shared" si="11"/>
        <v>210778.37616514781</v>
      </c>
      <c r="H76">
        <f t="shared" si="12"/>
        <v>504.83960000000002</v>
      </c>
      <c r="I76">
        <f t="shared" si="13"/>
        <v>254863.02172816001</v>
      </c>
    </row>
    <row r="77" spans="1:9" x14ac:dyDescent="0.3">
      <c r="A77">
        <v>36488</v>
      </c>
      <c r="B77">
        <v>756</v>
      </c>
      <c r="C77">
        <f t="shared" si="7"/>
        <v>1331374144</v>
      </c>
      <c r="D77">
        <f t="shared" si="8"/>
        <v>27584928</v>
      </c>
      <c r="E77">
        <f t="shared" si="9"/>
        <v>813.61655200000007</v>
      </c>
      <c r="F77">
        <f t="shared" si="10"/>
        <v>-57.61655200000007</v>
      </c>
      <c r="G77">
        <f t="shared" si="11"/>
        <v>3319.6670643687121</v>
      </c>
      <c r="H77">
        <f t="shared" si="12"/>
        <v>-130.16039999999998</v>
      </c>
      <c r="I77">
        <f t="shared" si="13"/>
        <v>16941.729728159997</v>
      </c>
    </row>
    <row r="78" spans="1:9" x14ac:dyDescent="0.3">
      <c r="A78">
        <v>131425</v>
      </c>
      <c r="B78">
        <v>1104</v>
      </c>
      <c r="C78">
        <f t="shared" si="7"/>
        <v>17272530625</v>
      </c>
      <c r="D78">
        <f t="shared" si="8"/>
        <v>145093200</v>
      </c>
      <c r="E78">
        <f t="shared" si="9"/>
        <v>837.73054999999999</v>
      </c>
      <c r="F78">
        <f t="shared" si="10"/>
        <v>266.26945000000001</v>
      </c>
      <c r="G78">
        <f t="shared" si="11"/>
        <v>70899.420003302497</v>
      </c>
      <c r="H78">
        <f t="shared" si="12"/>
        <v>217.83960000000002</v>
      </c>
      <c r="I78">
        <f t="shared" si="13"/>
        <v>47454.091328160008</v>
      </c>
    </row>
    <row r="79" spans="1:9" x14ac:dyDescent="0.3">
      <c r="A79">
        <v>231626</v>
      </c>
      <c r="B79">
        <v>1076</v>
      </c>
      <c r="C79">
        <f t="shared" si="7"/>
        <v>53650603876</v>
      </c>
      <c r="D79">
        <f t="shared" si="8"/>
        <v>249229576</v>
      </c>
      <c r="E79">
        <f t="shared" si="9"/>
        <v>863.18160399999999</v>
      </c>
      <c r="F79">
        <f t="shared" si="10"/>
        <v>212.81839600000001</v>
      </c>
      <c r="G79">
        <f t="shared" si="11"/>
        <v>45291.669676012818</v>
      </c>
      <c r="H79">
        <f t="shared" si="12"/>
        <v>189.83960000000002</v>
      </c>
      <c r="I79">
        <f t="shared" si="13"/>
        <v>36039.073728160009</v>
      </c>
    </row>
    <row r="80" spans="1:9" x14ac:dyDescent="0.3">
      <c r="A80">
        <v>459645</v>
      </c>
      <c r="B80">
        <v>1013</v>
      </c>
      <c r="C80">
        <f t="shared" si="7"/>
        <v>211273526025</v>
      </c>
      <c r="D80">
        <f t="shared" si="8"/>
        <v>465620385</v>
      </c>
      <c r="E80">
        <f t="shared" si="9"/>
        <v>921.09843000000001</v>
      </c>
      <c r="F80">
        <f t="shared" si="10"/>
        <v>91.901569999999992</v>
      </c>
      <c r="G80">
        <f t="shared" si="11"/>
        <v>8445.8985684648978</v>
      </c>
      <c r="H80">
        <f t="shared" si="12"/>
        <v>126.83960000000002</v>
      </c>
      <c r="I80">
        <f t="shared" si="13"/>
        <v>16088.284128160005</v>
      </c>
    </row>
    <row r="81" spans="1:9" x14ac:dyDescent="0.3">
      <c r="A81">
        <v>71441</v>
      </c>
      <c r="B81">
        <v>430</v>
      </c>
      <c r="C81">
        <f t="shared" si="7"/>
        <v>5103816481</v>
      </c>
      <c r="D81">
        <f t="shared" si="8"/>
        <v>30719630</v>
      </c>
      <c r="E81">
        <f t="shared" si="9"/>
        <v>822.49461400000007</v>
      </c>
      <c r="F81">
        <f t="shared" si="10"/>
        <v>-392.49461400000007</v>
      </c>
      <c r="G81">
        <f t="shared" si="11"/>
        <v>154052.02201900905</v>
      </c>
      <c r="H81">
        <f t="shared" si="12"/>
        <v>-456.16039999999998</v>
      </c>
      <c r="I81">
        <f t="shared" si="13"/>
        <v>208082.31052815999</v>
      </c>
    </row>
    <row r="82" spans="1:9" x14ac:dyDescent="0.3">
      <c r="A82">
        <v>1034</v>
      </c>
      <c r="B82">
        <v>474</v>
      </c>
      <c r="C82">
        <f t="shared" si="7"/>
        <v>1069156</v>
      </c>
      <c r="D82">
        <f t="shared" si="8"/>
        <v>490116</v>
      </c>
      <c r="E82">
        <f t="shared" si="9"/>
        <v>804.61123600000008</v>
      </c>
      <c r="F82">
        <f t="shared" si="10"/>
        <v>-330.61123600000008</v>
      </c>
      <c r="G82">
        <f t="shared" si="11"/>
        <v>109303.78936944775</v>
      </c>
      <c r="H82">
        <f t="shared" si="12"/>
        <v>-412.16039999999998</v>
      </c>
      <c r="I82">
        <f t="shared" si="13"/>
        <v>169876.19532815999</v>
      </c>
    </row>
    <row r="83" spans="1:9" x14ac:dyDescent="0.3">
      <c r="A83">
        <v>247864</v>
      </c>
      <c r="B83">
        <v>1249</v>
      </c>
      <c r="C83">
        <f t="shared" si="7"/>
        <v>61436562496</v>
      </c>
      <c r="D83">
        <f t="shared" si="8"/>
        <v>309582136</v>
      </c>
      <c r="E83">
        <f t="shared" si="9"/>
        <v>867.30605600000001</v>
      </c>
      <c r="F83">
        <f t="shared" si="10"/>
        <v>381.69394399999999</v>
      </c>
      <c r="G83">
        <f t="shared" si="11"/>
        <v>145690.26688627512</v>
      </c>
      <c r="H83">
        <f t="shared" si="12"/>
        <v>362.83960000000002</v>
      </c>
      <c r="I83">
        <f t="shared" si="13"/>
        <v>131652.57532816002</v>
      </c>
    </row>
    <row r="84" spans="1:9" x14ac:dyDescent="0.3">
      <c r="A84">
        <v>53617</v>
      </c>
      <c r="B84">
        <v>923</v>
      </c>
      <c r="C84">
        <f t="shared" si="7"/>
        <v>2874782689</v>
      </c>
      <c r="D84">
        <f t="shared" si="8"/>
        <v>49488491</v>
      </c>
      <c r="E84">
        <f t="shared" si="9"/>
        <v>817.96731799999998</v>
      </c>
      <c r="F84">
        <f t="shared" si="10"/>
        <v>105.03268200000002</v>
      </c>
      <c r="G84">
        <f t="shared" si="11"/>
        <v>11031.864288113129</v>
      </c>
      <c r="H84">
        <f t="shared" si="12"/>
        <v>36.839600000000019</v>
      </c>
      <c r="I84">
        <f t="shared" si="13"/>
        <v>1357.1561281600013</v>
      </c>
    </row>
    <row r="85" spans="1:9" x14ac:dyDescent="0.3">
      <c r="A85">
        <v>12317</v>
      </c>
      <c r="B85">
        <v>766</v>
      </c>
      <c r="C85">
        <f t="shared" si="7"/>
        <v>151708489</v>
      </c>
      <c r="D85">
        <f t="shared" si="8"/>
        <v>9434822</v>
      </c>
      <c r="E85">
        <f t="shared" si="9"/>
        <v>807.47711800000002</v>
      </c>
      <c r="F85">
        <f t="shared" si="10"/>
        <v>-41.477118000000019</v>
      </c>
      <c r="G85">
        <f t="shared" si="11"/>
        <v>1720.3513175859255</v>
      </c>
      <c r="H85">
        <f t="shared" si="12"/>
        <v>-120.16039999999998</v>
      </c>
      <c r="I85">
        <f t="shared" si="13"/>
        <v>14438.521728159996</v>
      </c>
    </row>
    <row r="86" spans="1:9" x14ac:dyDescent="0.3">
      <c r="A86">
        <v>106354</v>
      </c>
      <c r="B86">
        <v>1340</v>
      </c>
      <c r="C86">
        <f t="shared" si="7"/>
        <v>11311173316</v>
      </c>
      <c r="D86">
        <f t="shared" si="8"/>
        <v>142514360</v>
      </c>
      <c r="E86">
        <f t="shared" si="9"/>
        <v>831.36251600000003</v>
      </c>
      <c r="F86">
        <f t="shared" si="10"/>
        <v>508.63748399999997</v>
      </c>
      <c r="G86">
        <f t="shared" si="11"/>
        <v>258712.09012985023</v>
      </c>
      <c r="H86">
        <f t="shared" si="12"/>
        <v>453.83960000000002</v>
      </c>
      <c r="I86">
        <f t="shared" si="13"/>
        <v>205970.38252816003</v>
      </c>
    </row>
    <row r="87" spans="1:9" x14ac:dyDescent="0.3">
      <c r="A87">
        <v>332283</v>
      </c>
      <c r="B87">
        <v>1302</v>
      </c>
      <c r="C87">
        <f t="shared" si="7"/>
        <v>110411992089</v>
      </c>
      <c r="D87">
        <f t="shared" si="8"/>
        <v>432632466</v>
      </c>
      <c r="E87">
        <f t="shared" si="9"/>
        <v>888.74848199999997</v>
      </c>
      <c r="F87">
        <f t="shared" si="10"/>
        <v>413.25151800000003</v>
      </c>
      <c r="G87">
        <f t="shared" si="11"/>
        <v>170776.81712930434</v>
      </c>
      <c r="H87">
        <f t="shared" si="12"/>
        <v>415.83960000000002</v>
      </c>
      <c r="I87">
        <f t="shared" si="13"/>
        <v>172922.57292816002</v>
      </c>
    </row>
    <row r="88" spans="1:9" x14ac:dyDescent="0.3">
      <c r="A88">
        <v>332760</v>
      </c>
      <c r="B88">
        <v>1212</v>
      </c>
      <c r="C88">
        <f t="shared" si="7"/>
        <v>110729217600</v>
      </c>
      <c r="D88">
        <f t="shared" si="8"/>
        <v>403305120</v>
      </c>
      <c r="E88">
        <f t="shared" si="9"/>
        <v>888.86964</v>
      </c>
      <c r="F88">
        <f t="shared" si="10"/>
        <v>323.13036</v>
      </c>
      <c r="G88">
        <f t="shared" si="11"/>
        <v>104413.2295537296</v>
      </c>
      <c r="H88">
        <f t="shared" si="12"/>
        <v>325.83960000000002</v>
      </c>
      <c r="I88">
        <f t="shared" si="13"/>
        <v>106171.44492816001</v>
      </c>
    </row>
    <row r="89" spans="1:9" x14ac:dyDescent="0.3">
      <c r="A89">
        <v>7902</v>
      </c>
      <c r="B89">
        <v>717</v>
      </c>
      <c r="C89">
        <f t="shared" si="7"/>
        <v>62441604</v>
      </c>
      <c r="D89">
        <f t="shared" si="8"/>
        <v>5665734</v>
      </c>
      <c r="E89">
        <f t="shared" si="9"/>
        <v>806.35570800000005</v>
      </c>
      <c r="F89">
        <f t="shared" si="10"/>
        <v>-89.35570800000005</v>
      </c>
      <c r="G89">
        <f t="shared" si="11"/>
        <v>7984.4425521812727</v>
      </c>
      <c r="H89">
        <f t="shared" si="12"/>
        <v>-169.16039999999998</v>
      </c>
      <c r="I89">
        <f t="shared" si="13"/>
        <v>28615.240928159994</v>
      </c>
    </row>
    <row r="90" spans="1:9" x14ac:dyDescent="0.3">
      <c r="A90">
        <v>270389</v>
      </c>
      <c r="B90">
        <v>1155</v>
      </c>
      <c r="C90">
        <f t="shared" si="7"/>
        <v>73110211321</v>
      </c>
      <c r="D90">
        <f t="shared" si="8"/>
        <v>312299295</v>
      </c>
      <c r="E90">
        <f t="shared" si="9"/>
        <v>873.02740600000004</v>
      </c>
      <c r="F90">
        <f t="shared" si="10"/>
        <v>281.97259399999996</v>
      </c>
      <c r="G90">
        <f t="shared" si="11"/>
        <v>79508.543767088806</v>
      </c>
      <c r="H90">
        <f t="shared" si="12"/>
        <v>268.83960000000002</v>
      </c>
      <c r="I90">
        <f t="shared" si="13"/>
        <v>72274.730528160013</v>
      </c>
    </row>
    <row r="91" spans="1:9" x14ac:dyDescent="0.3">
      <c r="A91">
        <v>10195</v>
      </c>
      <c r="B91">
        <v>618</v>
      </c>
      <c r="C91">
        <f t="shared" si="7"/>
        <v>103938025</v>
      </c>
      <c r="D91">
        <f t="shared" si="8"/>
        <v>6300510</v>
      </c>
      <c r="E91">
        <f t="shared" si="9"/>
        <v>806.93813</v>
      </c>
      <c r="F91">
        <f t="shared" si="10"/>
        <v>-188.93813</v>
      </c>
      <c r="G91">
        <f t="shared" si="11"/>
        <v>35697.616967896902</v>
      </c>
      <c r="H91">
        <f t="shared" si="12"/>
        <v>-268.16039999999998</v>
      </c>
      <c r="I91">
        <f t="shared" si="13"/>
        <v>71910.000128159983</v>
      </c>
    </row>
    <row r="92" spans="1:9" x14ac:dyDescent="0.3">
      <c r="A92">
        <v>1645</v>
      </c>
      <c r="B92">
        <v>551</v>
      </c>
      <c r="C92">
        <f t="shared" si="7"/>
        <v>2706025</v>
      </c>
      <c r="D92">
        <f t="shared" si="8"/>
        <v>906395</v>
      </c>
      <c r="E92">
        <f t="shared" si="9"/>
        <v>804.76643000000001</v>
      </c>
      <c r="F92">
        <f t="shared" si="10"/>
        <v>-253.76643000000001</v>
      </c>
      <c r="G92">
        <f t="shared" si="11"/>
        <v>64397.40099494491</v>
      </c>
      <c r="H92">
        <f t="shared" si="12"/>
        <v>-335.16039999999998</v>
      </c>
      <c r="I92">
        <f t="shared" si="13"/>
        <v>112332.49372815999</v>
      </c>
    </row>
    <row r="93" spans="1:9" x14ac:dyDescent="0.3">
      <c r="A93">
        <v>2604</v>
      </c>
      <c r="B93">
        <v>553</v>
      </c>
      <c r="C93">
        <f t="shared" si="7"/>
        <v>6780816</v>
      </c>
      <c r="D93">
        <f t="shared" si="8"/>
        <v>1440012</v>
      </c>
      <c r="E93">
        <f t="shared" si="9"/>
        <v>805.01001600000006</v>
      </c>
      <c r="F93">
        <f t="shared" si="10"/>
        <v>-252.01001600000006</v>
      </c>
      <c r="G93">
        <f t="shared" si="11"/>
        <v>63509.048164320287</v>
      </c>
      <c r="H93">
        <f t="shared" si="12"/>
        <v>-333.16039999999998</v>
      </c>
      <c r="I93">
        <f t="shared" si="13"/>
        <v>110995.85212815998</v>
      </c>
    </row>
    <row r="94" spans="1:9" x14ac:dyDescent="0.3">
      <c r="A94">
        <v>1562803</v>
      </c>
      <c r="B94">
        <v>968</v>
      </c>
      <c r="C94">
        <f t="shared" si="7"/>
        <v>2442353216809</v>
      </c>
      <c r="D94">
        <f t="shared" si="8"/>
        <v>1512793304</v>
      </c>
      <c r="E94">
        <f t="shared" si="9"/>
        <v>1201.3005619999999</v>
      </c>
      <c r="F94">
        <f t="shared" si="10"/>
        <v>-233.3005619999999</v>
      </c>
      <c r="G94">
        <f t="shared" si="11"/>
        <v>54429.152229515799</v>
      </c>
      <c r="H94">
        <f t="shared" si="12"/>
        <v>81.839600000000019</v>
      </c>
      <c r="I94">
        <f t="shared" si="13"/>
        <v>6697.7201281600028</v>
      </c>
    </row>
    <row r="95" spans="1:9" x14ac:dyDescent="0.3">
      <c r="A95">
        <v>140694</v>
      </c>
      <c r="B95">
        <v>996</v>
      </c>
      <c r="C95">
        <f t="shared" si="7"/>
        <v>19794801636</v>
      </c>
      <c r="D95">
        <f t="shared" si="8"/>
        <v>140131224</v>
      </c>
      <c r="E95">
        <f t="shared" si="9"/>
        <v>840.08487600000001</v>
      </c>
      <c r="F95">
        <f t="shared" si="10"/>
        <v>155.91512399999999</v>
      </c>
      <c r="G95">
        <f t="shared" si="11"/>
        <v>24309.525891935373</v>
      </c>
      <c r="H95">
        <f t="shared" si="12"/>
        <v>109.83960000000002</v>
      </c>
      <c r="I95">
        <f t="shared" si="13"/>
        <v>12064.737728160004</v>
      </c>
    </row>
    <row r="96" spans="1:9" x14ac:dyDescent="0.3">
      <c r="A96">
        <v>7332</v>
      </c>
      <c r="B96">
        <v>819</v>
      </c>
      <c r="C96">
        <f t="shared" si="7"/>
        <v>53758224</v>
      </c>
      <c r="D96">
        <f t="shared" si="8"/>
        <v>6004908</v>
      </c>
      <c r="E96">
        <f t="shared" si="9"/>
        <v>806.21092800000008</v>
      </c>
      <c r="F96">
        <f t="shared" si="10"/>
        <v>12.789071999999919</v>
      </c>
      <c r="G96">
        <f t="shared" si="11"/>
        <v>163.56036262118192</v>
      </c>
      <c r="H96">
        <f t="shared" si="12"/>
        <v>-67.160399999999981</v>
      </c>
      <c r="I96">
        <f t="shared" si="13"/>
        <v>4510.5193281599977</v>
      </c>
    </row>
    <row r="97" spans="1:9" x14ac:dyDescent="0.3">
      <c r="A97">
        <v>1371899</v>
      </c>
      <c r="B97">
        <v>1127</v>
      </c>
      <c r="C97">
        <f t="shared" si="7"/>
        <v>1882106866201</v>
      </c>
      <c r="D97">
        <f t="shared" si="8"/>
        <v>1546130173</v>
      </c>
      <c r="E97">
        <f t="shared" si="9"/>
        <v>1152.8109460000001</v>
      </c>
      <c r="F97">
        <f t="shared" si="10"/>
        <v>-25.810946000000058</v>
      </c>
      <c r="G97">
        <f t="shared" si="11"/>
        <v>666.20493341491897</v>
      </c>
      <c r="H97">
        <f t="shared" si="12"/>
        <v>240.83960000000002</v>
      </c>
      <c r="I97">
        <f t="shared" si="13"/>
        <v>58003.712928160006</v>
      </c>
    </row>
    <row r="98" spans="1:9" x14ac:dyDescent="0.3">
      <c r="A98">
        <v>98360</v>
      </c>
      <c r="B98">
        <v>858</v>
      </c>
      <c r="C98">
        <f t="shared" si="7"/>
        <v>9674689600</v>
      </c>
      <c r="D98">
        <f t="shared" si="8"/>
        <v>84392880</v>
      </c>
      <c r="E98">
        <f t="shared" si="9"/>
        <v>829.33204000000001</v>
      </c>
      <c r="F98">
        <f t="shared" si="10"/>
        <v>28.667959999999994</v>
      </c>
      <c r="G98">
        <f t="shared" si="11"/>
        <v>821.8519305615996</v>
      </c>
      <c r="H98">
        <f t="shared" si="12"/>
        <v>-28.160399999999981</v>
      </c>
      <c r="I98">
        <f t="shared" si="13"/>
        <v>793.00812815999893</v>
      </c>
    </row>
    <row r="99" spans="1:9" x14ac:dyDescent="0.3">
      <c r="A99">
        <v>24522</v>
      </c>
      <c r="B99">
        <v>786</v>
      </c>
      <c r="C99">
        <f t="shared" si="7"/>
        <v>601328484</v>
      </c>
      <c r="D99">
        <f t="shared" si="8"/>
        <v>19274292</v>
      </c>
      <c r="E99">
        <f t="shared" si="9"/>
        <v>810.57718799999998</v>
      </c>
      <c r="F99">
        <f t="shared" si="10"/>
        <v>-24.577187999999978</v>
      </c>
      <c r="G99">
        <f t="shared" si="11"/>
        <v>604.03816998734294</v>
      </c>
      <c r="H99">
        <f t="shared" si="12"/>
        <v>-100.16039999999998</v>
      </c>
      <c r="I99">
        <f t="shared" si="13"/>
        <v>10032.105728159997</v>
      </c>
    </row>
    <row r="100" spans="1:9" x14ac:dyDescent="0.3">
      <c r="A100">
        <v>18283</v>
      </c>
      <c r="B100">
        <v>899</v>
      </c>
      <c r="C100">
        <f t="shared" si="7"/>
        <v>334268089</v>
      </c>
      <c r="D100">
        <f t="shared" si="8"/>
        <v>16436417</v>
      </c>
      <c r="E100">
        <f t="shared" si="9"/>
        <v>808.992482</v>
      </c>
      <c r="F100">
        <f t="shared" si="10"/>
        <v>90.007518000000005</v>
      </c>
      <c r="G100">
        <f t="shared" si="11"/>
        <v>8101.3532965203249</v>
      </c>
      <c r="H100">
        <f t="shared" si="12"/>
        <v>12.839600000000019</v>
      </c>
      <c r="I100">
        <f t="shared" si="13"/>
        <v>164.85532816000048</v>
      </c>
    </row>
    <row r="101" spans="1:9" x14ac:dyDescent="0.3">
      <c r="A101">
        <v>3125</v>
      </c>
      <c r="B101">
        <v>526</v>
      </c>
      <c r="C101">
        <f t="shared" si="7"/>
        <v>9765625</v>
      </c>
      <c r="D101">
        <f t="shared" si="8"/>
        <v>1643750</v>
      </c>
      <c r="E101">
        <f t="shared" si="9"/>
        <v>805.14235000000008</v>
      </c>
      <c r="F101">
        <f t="shared" si="10"/>
        <v>-279.14235000000008</v>
      </c>
      <c r="G101">
        <f t="shared" si="11"/>
        <v>77920.45156352254</v>
      </c>
      <c r="H101">
        <f t="shared" si="12"/>
        <v>-360.16039999999998</v>
      </c>
      <c r="I101">
        <f t="shared" si="13"/>
        <v>129715.51372815999</v>
      </c>
    </row>
    <row r="102" spans="1:9" x14ac:dyDescent="0.3">
      <c r="A102">
        <v>280800</v>
      </c>
      <c r="B102">
        <v>1104</v>
      </c>
      <c r="C102">
        <f t="shared" si="7"/>
        <v>78848640000</v>
      </c>
      <c r="D102">
        <f t="shared" si="8"/>
        <v>310003200</v>
      </c>
      <c r="E102">
        <f t="shared" si="9"/>
        <v>875.67180000000008</v>
      </c>
      <c r="F102">
        <f t="shared" si="10"/>
        <v>228.32819999999992</v>
      </c>
      <c r="G102">
        <f t="shared" si="11"/>
        <v>52133.766915239969</v>
      </c>
      <c r="H102">
        <f t="shared" si="12"/>
        <v>217.83960000000002</v>
      </c>
      <c r="I102">
        <f t="shared" si="13"/>
        <v>47454.091328160008</v>
      </c>
    </row>
    <row r="103" spans="1:9" x14ac:dyDescent="0.3">
      <c r="A103">
        <v>2171302</v>
      </c>
      <c r="B103">
        <v>1347</v>
      </c>
      <c r="C103">
        <f t="shared" si="7"/>
        <v>4714552375204</v>
      </c>
      <c r="D103">
        <f t="shared" si="8"/>
        <v>2924743794</v>
      </c>
      <c r="E103">
        <f t="shared" si="9"/>
        <v>1355.8593080000001</v>
      </c>
      <c r="F103">
        <f t="shared" si="10"/>
        <v>-8.8593080000000555</v>
      </c>
      <c r="G103">
        <f t="shared" si="11"/>
        <v>78.487338238864979</v>
      </c>
      <c r="H103">
        <f t="shared" si="12"/>
        <v>460.83960000000002</v>
      </c>
      <c r="I103">
        <f t="shared" si="13"/>
        <v>212373.13692816001</v>
      </c>
    </row>
    <row r="104" spans="1:9" x14ac:dyDescent="0.3">
      <c r="A104">
        <v>17257</v>
      </c>
      <c r="B104">
        <v>815</v>
      </c>
      <c r="C104">
        <f t="shared" si="7"/>
        <v>297804049</v>
      </c>
      <c r="D104">
        <f t="shared" si="8"/>
        <v>14064455</v>
      </c>
      <c r="E104">
        <f t="shared" si="9"/>
        <v>808.73187800000005</v>
      </c>
      <c r="F104">
        <f t="shared" si="10"/>
        <v>6.2681219999999485</v>
      </c>
      <c r="G104">
        <f t="shared" si="11"/>
        <v>39.28935340688335</v>
      </c>
      <c r="H104">
        <f t="shared" si="12"/>
        <v>-71.160399999999981</v>
      </c>
      <c r="I104">
        <f t="shared" si="13"/>
        <v>5063.8025281599976</v>
      </c>
    </row>
    <row r="105" spans="1:9" x14ac:dyDescent="0.3">
      <c r="A105">
        <v>5023</v>
      </c>
      <c r="B105">
        <v>1113</v>
      </c>
      <c r="C105">
        <f t="shared" si="7"/>
        <v>25230529</v>
      </c>
      <c r="D105">
        <f t="shared" si="8"/>
        <v>5590599</v>
      </c>
      <c r="E105">
        <f t="shared" si="9"/>
        <v>805.62444200000004</v>
      </c>
      <c r="F105">
        <f t="shared" si="10"/>
        <v>307.37555799999996</v>
      </c>
      <c r="G105">
        <f t="shared" si="11"/>
        <v>94479.733655811331</v>
      </c>
      <c r="H105">
        <f t="shared" si="12"/>
        <v>226.83960000000002</v>
      </c>
      <c r="I105">
        <f t="shared" si="13"/>
        <v>51456.20412816001</v>
      </c>
    </row>
    <row r="106" spans="1:9" x14ac:dyDescent="0.3">
      <c r="A106">
        <v>48248</v>
      </c>
      <c r="B106">
        <v>1427</v>
      </c>
      <c r="C106">
        <f t="shared" si="7"/>
        <v>2327869504</v>
      </c>
      <c r="D106">
        <f t="shared" si="8"/>
        <v>68849896</v>
      </c>
      <c r="E106">
        <f t="shared" si="9"/>
        <v>816.60359200000005</v>
      </c>
      <c r="F106">
        <f t="shared" si="10"/>
        <v>610.39640799999995</v>
      </c>
      <c r="G106">
        <f t="shared" si="11"/>
        <v>372583.7748993024</v>
      </c>
      <c r="H106">
        <f t="shared" si="12"/>
        <v>540.83960000000002</v>
      </c>
      <c r="I106">
        <f t="shared" si="13"/>
        <v>292507.47292816004</v>
      </c>
    </row>
    <row r="107" spans="1:9" x14ac:dyDescent="0.3">
      <c r="A107">
        <v>16191</v>
      </c>
      <c r="B107">
        <v>743</v>
      </c>
      <c r="C107">
        <f t="shared" si="7"/>
        <v>262148481</v>
      </c>
      <c r="D107">
        <f t="shared" si="8"/>
        <v>12029913</v>
      </c>
      <c r="E107">
        <f t="shared" si="9"/>
        <v>808.46111400000007</v>
      </c>
      <c r="F107">
        <f t="shared" si="10"/>
        <v>-65.461114000000066</v>
      </c>
      <c r="G107">
        <f t="shared" si="11"/>
        <v>4285.1574461210048</v>
      </c>
      <c r="H107">
        <f t="shared" si="12"/>
        <v>-143.16039999999998</v>
      </c>
      <c r="I107">
        <f t="shared" si="13"/>
        <v>20494.900128159996</v>
      </c>
    </row>
    <row r="108" spans="1:9" x14ac:dyDescent="0.3">
      <c r="A108">
        <v>464</v>
      </c>
      <c r="B108">
        <v>724</v>
      </c>
      <c r="C108">
        <f t="shared" si="7"/>
        <v>215296</v>
      </c>
      <c r="D108">
        <f t="shared" si="8"/>
        <v>335936</v>
      </c>
      <c r="E108">
        <f t="shared" si="9"/>
        <v>804.46645599999999</v>
      </c>
      <c r="F108">
        <f t="shared" si="10"/>
        <v>-80.466455999999994</v>
      </c>
      <c r="G108">
        <f t="shared" si="11"/>
        <v>6474.8505411999349</v>
      </c>
      <c r="H108">
        <f t="shared" si="12"/>
        <v>-162.16039999999998</v>
      </c>
      <c r="I108">
        <f t="shared" si="13"/>
        <v>26295.995328159996</v>
      </c>
    </row>
    <row r="109" spans="1:9" x14ac:dyDescent="0.3">
      <c r="A109">
        <v>1736</v>
      </c>
      <c r="B109">
        <v>344</v>
      </c>
      <c r="C109">
        <f t="shared" si="7"/>
        <v>3013696</v>
      </c>
      <c r="D109">
        <f t="shared" si="8"/>
        <v>597184</v>
      </c>
      <c r="E109">
        <f t="shared" si="9"/>
        <v>804.78954399999998</v>
      </c>
      <c r="F109">
        <f t="shared" si="10"/>
        <v>-460.78954399999998</v>
      </c>
      <c r="G109">
        <f t="shared" si="11"/>
        <v>212327.00385972791</v>
      </c>
      <c r="H109">
        <f t="shared" si="12"/>
        <v>-542.16039999999998</v>
      </c>
      <c r="I109">
        <f t="shared" si="13"/>
        <v>293937.89932815998</v>
      </c>
    </row>
    <row r="110" spans="1:9" x14ac:dyDescent="0.3">
      <c r="A110">
        <v>519342</v>
      </c>
      <c r="B110">
        <v>1089</v>
      </c>
      <c r="C110">
        <f t="shared" si="7"/>
        <v>269716112964</v>
      </c>
      <c r="D110">
        <f t="shared" si="8"/>
        <v>565563438</v>
      </c>
      <c r="E110">
        <f t="shared" si="9"/>
        <v>936.26146800000004</v>
      </c>
      <c r="F110">
        <f t="shared" si="10"/>
        <v>152.73853199999996</v>
      </c>
      <c r="G110">
        <f t="shared" si="11"/>
        <v>23329.059157515014</v>
      </c>
      <c r="H110">
        <f t="shared" si="12"/>
        <v>202.83960000000002</v>
      </c>
      <c r="I110">
        <f t="shared" si="13"/>
        <v>41143.903328160006</v>
      </c>
    </row>
    <row r="111" spans="1:9" x14ac:dyDescent="0.3">
      <c r="A111">
        <v>7490</v>
      </c>
      <c r="B111">
        <v>839</v>
      </c>
      <c r="C111">
        <f t="shared" si="7"/>
        <v>56100100</v>
      </c>
      <c r="D111">
        <f t="shared" si="8"/>
        <v>6284110</v>
      </c>
      <c r="E111">
        <f t="shared" si="9"/>
        <v>806.25106000000005</v>
      </c>
      <c r="F111">
        <f t="shared" si="10"/>
        <v>32.748939999999948</v>
      </c>
      <c r="G111">
        <f t="shared" si="11"/>
        <v>1072.4930711235966</v>
      </c>
      <c r="H111">
        <f t="shared" si="12"/>
        <v>-47.160399999999981</v>
      </c>
      <c r="I111">
        <f t="shared" si="13"/>
        <v>2224.1033281599985</v>
      </c>
    </row>
    <row r="112" spans="1:9" x14ac:dyDescent="0.3">
      <c r="A112">
        <v>51284</v>
      </c>
      <c r="B112">
        <v>200</v>
      </c>
      <c r="C112">
        <f t="shared" si="7"/>
        <v>2630048656</v>
      </c>
      <c r="D112">
        <f t="shared" si="8"/>
        <v>10256800</v>
      </c>
      <c r="E112">
        <f t="shared" si="9"/>
        <v>817.37473599999998</v>
      </c>
      <c r="F112">
        <f t="shared" si="10"/>
        <v>-617.37473599999998</v>
      </c>
      <c r="G112">
        <f t="shared" si="11"/>
        <v>381151.5646510697</v>
      </c>
      <c r="H112">
        <f t="shared" si="12"/>
        <v>-686.16039999999998</v>
      </c>
      <c r="I112">
        <f t="shared" si="13"/>
        <v>470816.09452816</v>
      </c>
    </row>
    <row r="113" spans="1:9" x14ac:dyDescent="0.3">
      <c r="A113">
        <v>105777</v>
      </c>
      <c r="B113">
        <v>837</v>
      </c>
      <c r="C113">
        <f t="shared" si="7"/>
        <v>11188773729</v>
      </c>
      <c r="D113">
        <f t="shared" si="8"/>
        <v>88535349</v>
      </c>
      <c r="E113">
        <f t="shared" si="9"/>
        <v>831.215958</v>
      </c>
      <c r="F113">
        <f t="shared" si="10"/>
        <v>5.7840419999999995</v>
      </c>
      <c r="G113">
        <f t="shared" si="11"/>
        <v>33.455141857763991</v>
      </c>
      <c r="H113">
        <f t="shared" si="12"/>
        <v>-49.160399999999981</v>
      </c>
      <c r="I113">
        <f t="shared" si="13"/>
        <v>2416.7449281599984</v>
      </c>
    </row>
    <row r="114" spans="1:9" x14ac:dyDescent="0.3">
      <c r="A114">
        <v>20495</v>
      </c>
      <c r="B114">
        <v>790</v>
      </c>
      <c r="C114">
        <f t="shared" si="7"/>
        <v>420045025</v>
      </c>
      <c r="D114">
        <f t="shared" si="8"/>
        <v>16191050</v>
      </c>
      <c r="E114">
        <f t="shared" si="9"/>
        <v>809.55433000000005</v>
      </c>
      <c r="F114">
        <f t="shared" si="10"/>
        <v>-19.55433000000005</v>
      </c>
      <c r="G114">
        <f t="shared" si="11"/>
        <v>382.37182174890194</v>
      </c>
      <c r="H114">
        <f t="shared" si="12"/>
        <v>-96.160399999999981</v>
      </c>
      <c r="I114">
        <f t="shared" si="13"/>
        <v>9246.8225281599971</v>
      </c>
    </row>
    <row r="115" spans="1:9" x14ac:dyDescent="0.3">
      <c r="A115">
        <v>745342</v>
      </c>
      <c r="B115">
        <v>1083</v>
      </c>
      <c r="C115">
        <f t="shared" si="7"/>
        <v>555534696964</v>
      </c>
      <c r="D115">
        <f t="shared" si="8"/>
        <v>807205386</v>
      </c>
      <c r="E115">
        <f t="shared" si="9"/>
        <v>993.66546800000003</v>
      </c>
      <c r="F115">
        <f t="shared" si="10"/>
        <v>89.334531999999967</v>
      </c>
      <c r="G115">
        <f t="shared" si="11"/>
        <v>7980.6586076590183</v>
      </c>
      <c r="H115">
        <f t="shared" si="12"/>
        <v>196.83960000000002</v>
      </c>
      <c r="I115">
        <f t="shared" si="13"/>
        <v>38745.828128160007</v>
      </c>
    </row>
    <row r="116" spans="1:9" x14ac:dyDescent="0.3">
      <c r="A116">
        <v>484144</v>
      </c>
      <c r="B116">
        <v>705</v>
      </c>
      <c r="C116">
        <f t="shared" si="7"/>
        <v>234395412736</v>
      </c>
      <c r="D116">
        <f t="shared" si="8"/>
        <v>341321520</v>
      </c>
      <c r="E116">
        <f t="shared" si="9"/>
        <v>927.32117600000004</v>
      </c>
      <c r="F116">
        <f t="shared" si="10"/>
        <v>-222.32117600000004</v>
      </c>
      <c r="G116">
        <f t="shared" si="11"/>
        <v>49426.705298022993</v>
      </c>
      <c r="H116">
        <f t="shared" si="12"/>
        <v>-181.16039999999998</v>
      </c>
      <c r="I116">
        <f t="shared" si="13"/>
        <v>32819.090528159992</v>
      </c>
    </row>
    <row r="117" spans="1:9" x14ac:dyDescent="0.3">
      <c r="A117">
        <v>43947</v>
      </c>
      <c r="B117">
        <v>794</v>
      </c>
      <c r="C117">
        <f t="shared" si="7"/>
        <v>1931338809</v>
      </c>
      <c r="D117">
        <f t="shared" si="8"/>
        <v>34893918</v>
      </c>
      <c r="E117">
        <f t="shared" si="9"/>
        <v>815.51113800000007</v>
      </c>
      <c r="F117">
        <f t="shared" si="10"/>
        <v>-21.511138000000074</v>
      </c>
      <c r="G117">
        <f t="shared" si="11"/>
        <v>462.72905805504718</v>
      </c>
      <c r="H117">
        <f t="shared" si="12"/>
        <v>-92.160399999999981</v>
      </c>
      <c r="I117">
        <f t="shared" si="13"/>
        <v>8493.5393281599972</v>
      </c>
    </row>
    <row r="118" spans="1:9" x14ac:dyDescent="0.3">
      <c r="A118">
        <v>57143</v>
      </c>
      <c r="B118">
        <v>865</v>
      </c>
      <c r="C118">
        <f t="shared" si="7"/>
        <v>3265322449</v>
      </c>
      <c r="D118">
        <f t="shared" si="8"/>
        <v>49428695</v>
      </c>
      <c r="E118">
        <f t="shared" si="9"/>
        <v>818.86292200000003</v>
      </c>
      <c r="F118">
        <f t="shared" si="10"/>
        <v>46.137077999999974</v>
      </c>
      <c r="G118">
        <f t="shared" si="11"/>
        <v>2128.6299663780815</v>
      </c>
      <c r="H118">
        <f t="shared" si="12"/>
        <v>-21.160399999999981</v>
      </c>
      <c r="I118">
        <f t="shared" si="13"/>
        <v>447.76252815999919</v>
      </c>
    </row>
    <row r="119" spans="1:9" x14ac:dyDescent="0.3">
      <c r="A119">
        <v>393483</v>
      </c>
      <c r="B119">
        <v>848</v>
      </c>
      <c r="C119">
        <f t="shared" si="7"/>
        <v>154828871289</v>
      </c>
      <c r="D119">
        <f t="shared" si="8"/>
        <v>333673584</v>
      </c>
      <c r="E119">
        <f t="shared" si="9"/>
        <v>904.29328200000009</v>
      </c>
      <c r="F119">
        <f t="shared" si="10"/>
        <v>-56.29328200000009</v>
      </c>
      <c r="G119">
        <f t="shared" si="11"/>
        <v>3168.9335983315341</v>
      </c>
      <c r="H119">
        <f t="shared" si="12"/>
        <v>-38.160399999999981</v>
      </c>
      <c r="I119">
        <f t="shared" si="13"/>
        <v>1456.2161281599986</v>
      </c>
    </row>
    <row r="120" spans="1:9" x14ac:dyDescent="0.3">
      <c r="A120">
        <v>293273</v>
      </c>
      <c r="B120">
        <v>1370</v>
      </c>
      <c r="C120">
        <f t="shared" si="7"/>
        <v>86009052529</v>
      </c>
      <c r="D120">
        <f t="shared" si="8"/>
        <v>401784010</v>
      </c>
      <c r="E120">
        <f t="shared" si="9"/>
        <v>878.83994200000006</v>
      </c>
      <c r="F120">
        <f t="shared" si="10"/>
        <v>491.16005799999994</v>
      </c>
      <c r="G120">
        <f t="shared" si="11"/>
        <v>241238.2025745633</v>
      </c>
      <c r="H120">
        <f t="shared" si="12"/>
        <v>483.83960000000002</v>
      </c>
      <c r="I120">
        <f t="shared" si="13"/>
        <v>234100.75852816002</v>
      </c>
    </row>
    <row r="121" spans="1:9" x14ac:dyDescent="0.3">
      <c r="A121">
        <v>130885</v>
      </c>
      <c r="B121">
        <v>969</v>
      </c>
      <c r="C121">
        <f t="shared" si="7"/>
        <v>17130883225</v>
      </c>
      <c r="D121">
        <f t="shared" si="8"/>
        <v>126827565</v>
      </c>
      <c r="E121">
        <f t="shared" si="9"/>
        <v>837.59339</v>
      </c>
      <c r="F121">
        <f t="shared" si="10"/>
        <v>131.40661</v>
      </c>
      <c r="G121">
        <f t="shared" si="11"/>
        <v>17267.6971516921</v>
      </c>
      <c r="H121">
        <f t="shared" si="12"/>
        <v>82.839600000000019</v>
      </c>
      <c r="I121">
        <f t="shared" si="13"/>
        <v>6862.3993281600033</v>
      </c>
    </row>
    <row r="122" spans="1:9" x14ac:dyDescent="0.3">
      <c r="A122">
        <v>18928</v>
      </c>
      <c r="B122">
        <v>637</v>
      </c>
      <c r="C122">
        <f t="shared" si="7"/>
        <v>358269184</v>
      </c>
      <c r="D122">
        <f t="shared" si="8"/>
        <v>12057136</v>
      </c>
      <c r="E122">
        <f t="shared" si="9"/>
        <v>809.15631200000007</v>
      </c>
      <c r="F122">
        <f t="shared" si="10"/>
        <v>-172.15631200000007</v>
      </c>
      <c r="G122">
        <f t="shared" si="11"/>
        <v>29637.795761441368</v>
      </c>
      <c r="H122">
        <f t="shared" si="12"/>
        <v>-249.16039999999998</v>
      </c>
      <c r="I122">
        <f t="shared" si="13"/>
        <v>62080.904928159987</v>
      </c>
    </row>
    <row r="123" spans="1:9" x14ac:dyDescent="0.3">
      <c r="A123">
        <v>16429</v>
      </c>
      <c r="B123">
        <v>557</v>
      </c>
      <c r="C123">
        <f t="shared" si="7"/>
        <v>269912041</v>
      </c>
      <c r="D123">
        <f t="shared" si="8"/>
        <v>9150953</v>
      </c>
      <c r="E123">
        <f t="shared" si="9"/>
        <v>808.52156600000001</v>
      </c>
      <c r="F123">
        <f t="shared" si="10"/>
        <v>-251.52156600000001</v>
      </c>
      <c r="G123">
        <f t="shared" si="11"/>
        <v>63263.098163092356</v>
      </c>
      <c r="H123">
        <f t="shared" si="12"/>
        <v>-329.16039999999998</v>
      </c>
      <c r="I123">
        <f t="shared" si="13"/>
        <v>108346.56892815999</v>
      </c>
    </row>
    <row r="124" spans="1:9" x14ac:dyDescent="0.3">
      <c r="A124">
        <v>134778</v>
      </c>
      <c r="B124">
        <v>921</v>
      </c>
      <c r="C124">
        <f t="shared" si="7"/>
        <v>18165109284</v>
      </c>
      <c r="D124">
        <f t="shared" si="8"/>
        <v>124130538</v>
      </c>
      <c r="E124">
        <f t="shared" si="9"/>
        <v>838.58221200000003</v>
      </c>
      <c r="F124">
        <f t="shared" si="10"/>
        <v>82.417787999999973</v>
      </c>
      <c r="G124">
        <f t="shared" si="11"/>
        <v>6792.6917788129394</v>
      </c>
      <c r="H124">
        <f t="shared" si="12"/>
        <v>34.839600000000019</v>
      </c>
      <c r="I124">
        <f t="shared" si="13"/>
        <v>1213.7977281600013</v>
      </c>
    </row>
    <row r="125" spans="1:9" x14ac:dyDescent="0.3">
      <c r="A125">
        <v>84979</v>
      </c>
      <c r="B125">
        <v>582</v>
      </c>
      <c r="C125">
        <f t="shared" si="7"/>
        <v>7221430441</v>
      </c>
      <c r="D125">
        <f t="shared" si="8"/>
        <v>49457778</v>
      </c>
      <c r="E125">
        <f t="shared" si="9"/>
        <v>825.933266</v>
      </c>
      <c r="F125">
        <f t="shared" si="10"/>
        <v>-243.933266</v>
      </c>
      <c r="G125">
        <f t="shared" si="11"/>
        <v>59503.43826142676</v>
      </c>
      <c r="H125">
        <f t="shared" si="12"/>
        <v>-304.16039999999998</v>
      </c>
      <c r="I125">
        <f t="shared" si="13"/>
        <v>92513.548928159988</v>
      </c>
    </row>
    <row r="126" spans="1:9" x14ac:dyDescent="0.3">
      <c r="A126">
        <v>299477</v>
      </c>
      <c r="B126">
        <v>1132</v>
      </c>
      <c r="C126">
        <f t="shared" si="7"/>
        <v>89686473529</v>
      </c>
      <c r="D126">
        <f t="shared" si="8"/>
        <v>339007964</v>
      </c>
      <c r="E126">
        <f t="shared" si="9"/>
        <v>880.41575799999998</v>
      </c>
      <c r="F126">
        <f t="shared" si="10"/>
        <v>251.58424200000002</v>
      </c>
      <c r="G126">
        <f t="shared" si="11"/>
        <v>63294.630822714571</v>
      </c>
      <c r="H126">
        <f t="shared" si="12"/>
        <v>245.83960000000002</v>
      </c>
      <c r="I126">
        <f t="shared" si="13"/>
        <v>60437.108928160007</v>
      </c>
    </row>
    <row r="127" spans="1:9" x14ac:dyDescent="0.3">
      <c r="A127">
        <v>26063</v>
      </c>
      <c r="B127">
        <v>1079</v>
      </c>
      <c r="C127">
        <f t="shared" si="7"/>
        <v>679279969</v>
      </c>
      <c r="D127">
        <f t="shared" si="8"/>
        <v>28121977</v>
      </c>
      <c r="E127">
        <f t="shared" si="9"/>
        <v>810.96860200000003</v>
      </c>
      <c r="F127">
        <f t="shared" si="10"/>
        <v>268.03139799999997</v>
      </c>
      <c r="G127">
        <f t="shared" si="11"/>
        <v>71840.830313834391</v>
      </c>
      <c r="H127">
        <f t="shared" si="12"/>
        <v>192.83960000000002</v>
      </c>
      <c r="I127">
        <f t="shared" si="13"/>
        <v>37187.111328160005</v>
      </c>
    </row>
    <row r="128" spans="1:9" x14ac:dyDescent="0.3">
      <c r="A128">
        <v>133005</v>
      </c>
      <c r="B128">
        <v>1249</v>
      </c>
      <c r="C128">
        <f t="shared" si="7"/>
        <v>17690330025</v>
      </c>
      <c r="D128">
        <f t="shared" si="8"/>
        <v>166123245</v>
      </c>
      <c r="E128">
        <f t="shared" si="9"/>
        <v>838.13187000000005</v>
      </c>
      <c r="F128">
        <f t="shared" si="10"/>
        <v>410.86812999999995</v>
      </c>
      <c r="G128">
        <f t="shared" si="11"/>
        <v>168812.62024969686</v>
      </c>
      <c r="H128">
        <f t="shared" si="12"/>
        <v>362.83960000000002</v>
      </c>
      <c r="I128">
        <f t="shared" si="13"/>
        <v>131652.57532816002</v>
      </c>
    </row>
    <row r="129" spans="1:9" x14ac:dyDescent="0.3">
      <c r="A129">
        <v>130902</v>
      </c>
      <c r="B129">
        <v>1051</v>
      </c>
      <c r="C129">
        <f t="shared" si="7"/>
        <v>17135333604</v>
      </c>
      <c r="D129">
        <f t="shared" si="8"/>
        <v>137578002</v>
      </c>
      <c r="E129">
        <f t="shared" si="9"/>
        <v>837.59770800000001</v>
      </c>
      <c r="F129">
        <f t="shared" si="10"/>
        <v>213.40229199999999</v>
      </c>
      <c r="G129">
        <f t="shared" si="11"/>
        <v>45540.538230853257</v>
      </c>
      <c r="H129">
        <f t="shared" si="12"/>
        <v>164.83960000000002</v>
      </c>
      <c r="I129">
        <f t="shared" si="13"/>
        <v>27172.093728160005</v>
      </c>
    </row>
    <row r="130" spans="1:9" x14ac:dyDescent="0.3">
      <c r="A130">
        <v>6974</v>
      </c>
      <c r="B130">
        <v>257</v>
      </c>
      <c r="C130">
        <f t="shared" si="7"/>
        <v>48636676</v>
      </c>
      <c r="D130">
        <f t="shared" si="8"/>
        <v>1792318</v>
      </c>
      <c r="E130">
        <f t="shared" si="9"/>
        <v>806.11999600000001</v>
      </c>
      <c r="F130">
        <f t="shared" si="10"/>
        <v>-549.11999600000001</v>
      </c>
      <c r="G130">
        <f t="shared" si="11"/>
        <v>301532.77000704006</v>
      </c>
      <c r="H130">
        <f t="shared" si="12"/>
        <v>-629.16039999999998</v>
      </c>
      <c r="I130">
        <f t="shared" si="13"/>
        <v>395842.80892816</v>
      </c>
    </row>
    <row r="131" spans="1:9" x14ac:dyDescent="0.3">
      <c r="A131">
        <v>3427</v>
      </c>
      <c r="B131">
        <v>334</v>
      </c>
      <c r="C131">
        <f t="shared" ref="C131:C194" si="14">PRODUCT(A131,A131)</f>
        <v>11744329</v>
      </c>
      <c r="D131">
        <f t="shared" ref="D131:D194" si="15">PRODUCT(A131,B131)</f>
        <v>1144618</v>
      </c>
      <c r="E131">
        <f t="shared" ref="E131:E194" si="16">804.3486+PRODUCT(0.000254,A131)</f>
        <v>805.21905800000002</v>
      </c>
      <c r="F131">
        <f t="shared" ref="F131:F194" si="17">B131-E131</f>
        <v>-471.21905800000002</v>
      </c>
      <c r="G131">
        <f t="shared" ref="G131:G194" si="18">PRODUCT(F131,F131)</f>
        <v>222047.40062240738</v>
      </c>
      <c r="H131">
        <f t="shared" ref="H131:H194" si="19">B131-886.1604</f>
        <v>-552.16039999999998</v>
      </c>
      <c r="I131">
        <f t="shared" ref="I131:I194" si="20">PRODUCT(H131,H131)</f>
        <v>304881.10732815997</v>
      </c>
    </row>
    <row r="132" spans="1:9" x14ac:dyDescent="0.3">
      <c r="A132">
        <v>8803</v>
      </c>
      <c r="B132">
        <v>621</v>
      </c>
      <c r="C132">
        <f t="shared" si="14"/>
        <v>77492809</v>
      </c>
      <c r="D132">
        <f t="shared" si="15"/>
        <v>5466663</v>
      </c>
      <c r="E132">
        <f t="shared" si="16"/>
        <v>806.58456200000001</v>
      </c>
      <c r="F132">
        <f t="shared" si="17"/>
        <v>-185.58456200000001</v>
      </c>
      <c r="G132">
        <f t="shared" si="18"/>
        <v>34441.629652731848</v>
      </c>
      <c r="H132">
        <f t="shared" si="19"/>
        <v>-265.16039999999998</v>
      </c>
      <c r="I132">
        <f t="shared" si="20"/>
        <v>70310.037728159994</v>
      </c>
    </row>
    <row r="133" spans="1:9" x14ac:dyDescent="0.3">
      <c r="A133">
        <v>41265</v>
      </c>
      <c r="B133">
        <v>838</v>
      </c>
      <c r="C133">
        <f t="shared" si="14"/>
        <v>1702800225</v>
      </c>
      <c r="D133">
        <f t="shared" si="15"/>
        <v>34580070</v>
      </c>
      <c r="E133">
        <f t="shared" si="16"/>
        <v>814.82991000000004</v>
      </c>
      <c r="F133">
        <f t="shared" si="17"/>
        <v>23.170089999999959</v>
      </c>
      <c r="G133">
        <f t="shared" si="18"/>
        <v>536.85307060809816</v>
      </c>
      <c r="H133">
        <f t="shared" si="19"/>
        <v>-48.160399999999981</v>
      </c>
      <c r="I133">
        <f t="shared" si="20"/>
        <v>2319.4241281599984</v>
      </c>
    </row>
    <row r="134" spans="1:9" x14ac:dyDescent="0.3">
      <c r="A134">
        <v>37886</v>
      </c>
      <c r="B134">
        <v>423</v>
      </c>
      <c r="C134">
        <f t="shared" si="14"/>
        <v>1435348996</v>
      </c>
      <c r="D134">
        <f t="shared" si="15"/>
        <v>16025778</v>
      </c>
      <c r="E134">
        <f t="shared" si="16"/>
        <v>813.97164400000008</v>
      </c>
      <c r="F134">
        <f t="shared" si="17"/>
        <v>-390.97164400000008</v>
      </c>
      <c r="G134">
        <f t="shared" si="18"/>
        <v>152858.8264120628</v>
      </c>
      <c r="H134">
        <f t="shared" si="19"/>
        <v>-463.16039999999998</v>
      </c>
      <c r="I134">
        <f t="shared" si="20"/>
        <v>214517.55612815998</v>
      </c>
    </row>
    <row r="135" spans="1:9" x14ac:dyDescent="0.3">
      <c r="A135">
        <v>28302</v>
      </c>
      <c r="B135">
        <v>656</v>
      </c>
      <c r="C135">
        <f t="shared" si="14"/>
        <v>801003204</v>
      </c>
      <c r="D135">
        <f t="shared" si="15"/>
        <v>18566112</v>
      </c>
      <c r="E135">
        <f t="shared" si="16"/>
        <v>811.53730800000005</v>
      </c>
      <c r="F135">
        <f t="shared" si="17"/>
        <v>-155.53730800000005</v>
      </c>
      <c r="G135">
        <f t="shared" si="18"/>
        <v>24191.854179886879</v>
      </c>
      <c r="H135">
        <f t="shared" si="19"/>
        <v>-230.16039999999998</v>
      </c>
      <c r="I135">
        <f t="shared" si="20"/>
        <v>52973.809728159991</v>
      </c>
    </row>
    <row r="136" spans="1:9" x14ac:dyDescent="0.3">
      <c r="A136">
        <v>1851</v>
      </c>
      <c r="B136">
        <v>370</v>
      </c>
      <c r="C136">
        <f t="shared" si="14"/>
        <v>3426201</v>
      </c>
      <c r="D136">
        <f t="shared" si="15"/>
        <v>684870</v>
      </c>
      <c r="E136">
        <f t="shared" si="16"/>
        <v>804.81875400000001</v>
      </c>
      <c r="F136">
        <f t="shared" si="17"/>
        <v>-434.81875400000001</v>
      </c>
      <c r="G136">
        <f t="shared" si="18"/>
        <v>189067.34883011252</v>
      </c>
      <c r="H136">
        <f t="shared" si="19"/>
        <v>-516.16039999999998</v>
      </c>
      <c r="I136">
        <f t="shared" si="20"/>
        <v>266421.55852815998</v>
      </c>
    </row>
    <row r="137" spans="1:9" x14ac:dyDescent="0.3">
      <c r="A137">
        <v>23639</v>
      </c>
      <c r="B137">
        <v>864</v>
      </c>
      <c r="C137">
        <f t="shared" si="14"/>
        <v>558802321</v>
      </c>
      <c r="D137">
        <f t="shared" si="15"/>
        <v>20424096</v>
      </c>
      <c r="E137">
        <f t="shared" si="16"/>
        <v>810.35290600000008</v>
      </c>
      <c r="F137">
        <f t="shared" si="17"/>
        <v>53.647093999999925</v>
      </c>
      <c r="G137">
        <f t="shared" si="18"/>
        <v>2878.0106946448277</v>
      </c>
      <c r="H137">
        <f t="shared" si="19"/>
        <v>-22.160399999999981</v>
      </c>
      <c r="I137">
        <f t="shared" si="20"/>
        <v>491.08332815999916</v>
      </c>
    </row>
    <row r="138" spans="1:9" x14ac:dyDescent="0.3">
      <c r="A138">
        <v>313032</v>
      </c>
      <c r="B138">
        <v>1070</v>
      </c>
      <c r="C138">
        <f t="shared" si="14"/>
        <v>97989033024</v>
      </c>
      <c r="D138">
        <f t="shared" si="15"/>
        <v>334944240</v>
      </c>
      <c r="E138">
        <f t="shared" si="16"/>
        <v>883.85872800000004</v>
      </c>
      <c r="F138">
        <f t="shared" si="17"/>
        <v>186.14127199999996</v>
      </c>
      <c r="G138">
        <f t="shared" si="18"/>
        <v>34648.573141777968</v>
      </c>
      <c r="H138">
        <f t="shared" si="19"/>
        <v>183.83960000000002</v>
      </c>
      <c r="I138">
        <f t="shared" si="20"/>
        <v>33796.998528160009</v>
      </c>
    </row>
    <row r="139" spans="1:9" x14ac:dyDescent="0.3">
      <c r="A139">
        <v>7008</v>
      </c>
      <c r="B139">
        <v>827</v>
      </c>
      <c r="C139">
        <f t="shared" si="14"/>
        <v>49112064</v>
      </c>
      <c r="D139">
        <f t="shared" si="15"/>
        <v>5795616</v>
      </c>
      <c r="E139">
        <f t="shared" si="16"/>
        <v>806.12863200000004</v>
      </c>
      <c r="F139">
        <f t="shared" si="17"/>
        <v>20.871367999999961</v>
      </c>
      <c r="G139">
        <f t="shared" si="18"/>
        <v>435.6140021914224</v>
      </c>
      <c r="H139">
        <f t="shared" si="19"/>
        <v>-59.160399999999981</v>
      </c>
      <c r="I139">
        <f t="shared" si="20"/>
        <v>3499.952928159998</v>
      </c>
    </row>
    <row r="140" spans="1:9" x14ac:dyDescent="0.3">
      <c r="A140">
        <v>9344</v>
      </c>
      <c r="B140">
        <v>799</v>
      </c>
      <c r="C140">
        <f t="shared" si="14"/>
        <v>87310336</v>
      </c>
      <c r="D140">
        <f t="shared" si="15"/>
        <v>7465856</v>
      </c>
      <c r="E140">
        <f t="shared" si="16"/>
        <v>806.72197600000004</v>
      </c>
      <c r="F140">
        <f t="shared" si="17"/>
        <v>-7.7219760000000406</v>
      </c>
      <c r="G140">
        <f t="shared" si="18"/>
        <v>59.628913344576624</v>
      </c>
      <c r="H140">
        <f t="shared" si="19"/>
        <v>-87.160399999999981</v>
      </c>
      <c r="I140">
        <f t="shared" si="20"/>
        <v>7596.935328159997</v>
      </c>
    </row>
    <row r="141" spans="1:9" x14ac:dyDescent="0.3">
      <c r="A141">
        <v>462896</v>
      </c>
      <c r="B141">
        <v>1113</v>
      </c>
      <c r="C141">
        <f t="shared" si="14"/>
        <v>214272706816</v>
      </c>
      <c r="D141">
        <f t="shared" si="15"/>
        <v>515203248</v>
      </c>
      <c r="E141">
        <f t="shared" si="16"/>
        <v>921.92418399999997</v>
      </c>
      <c r="F141">
        <f t="shared" si="17"/>
        <v>191.07581600000003</v>
      </c>
      <c r="G141">
        <f t="shared" si="18"/>
        <v>36509.967460065869</v>
      </c>
      <c r="H141">
        <f t="shared" si="19"/>
        <v>226.83960000000002</v>
      </c>
      <c r="I141">
        <f t="shared" si="20"/>
        <v>51456.20412816001</v>
      </c>
    </row>
    <row r="142" spans="1:9" x14ac:dyDescent="0.3">
      <c r="A142">
        <v>608768</v>
      </c>
      <c r="B142">
        <v>820</v>
      </c>
      <c r="C142">
        <f t="shared" si="14"/>
        <v>370598477824</v>
      </c>
      <c r="D142">
        <f t="shared" si="15"/>
        <v>499189760</v>
      </c>
      <c r="E142">
        <f t="shared" si="16"/>
        <v>958.97567200000003</v>
      </c>
      <c r="F142">
        <f t="shared" si="17"/>
        <v>-138.97567200000003</v>
      </c>
      <c r="G142">
        <f t="shared" si="18"/>
        <v>19314.237407851593</v>
      </c>
      <c r="H142">
        <f t="shared" si="19"/>
        <v>-66.160399999999981</v>
      </c>
      <c r="I142">
        <f t="shared" si="20"/>
        <v>4377.1985281599973</v>
      </c>
    </row>
    <row r="143" spans="1:9" x14ac:dyDescent="0.3">
      <c r="A143">
        <v>79946</v>
      </c>
      <c r="B143">
        <v>564</v>
      </c>
      <c r="C143">
        <f t="shared" si="14"/>
        <v>6391362916</v>
      </c>
      <c r="D143">
        <f t="shared" si="15"/>
        <v>45089544</v>
      </c>
      <c r="E143">
        <f t="shared" si="16"/>
        <v>824.65488400000004</v>
      </c>
      <c r="F143">
        <f t="shared" si="17"/>
        <v>-260.65488400000004</v>
      </c>
      <c r="G143">
        <f t="shared" si="18"/>
        <v>67940.968553053477</v>
      </c>
      <c r="H143">
        <f t="shared" si="19"/>
        <v>-322.16039999999998</v>
      </c>
      <c r="I143">
        <f t="shared" si="20"/>
        <v>103787.32332815998</v>
      </c>
    </row>
    <row r="144" spans="1:9" x14ac:dyDescent="0.3">
      <c r="A144">
        <v>34552</v>
      </c>
      <c r="B144">
        <v>632</v>
      </c>
      <c r="C144">
        <f t="shared" si="14"/>
        <v>1193840704</v>
      </c>
      <c r="D144">
        <f t="shared" si="15"/>
        <v>21836864</v>
      </c>
      <c r="E144">
        <f t="shared" si="16"/>
        <v>813.12480800000003</v>
      </c>
      <c r="F144">
        <f t="shared" si="17"/>
        <v>-181.12480800000003</v>
      </c>
      <c r="G144">
        <f t="shared" si="18"/>
        <v>32806.196073036874</v>
      </c>
      <c r="H144">
        <f t="shared" si="19"/>
        <v>-254.16039999999998</v>
      </c>
      <c r="I144">
        <f t="shared" si="20"/>
        <v>64597.508928159994</v>
      </c>
    </row>
    <row r="145" spans="1:9" x14ac:dyDescent="0.3">
      <c r="A145">
        <v>298860</v>
      </c>
      <c r="B145">
        <v>1311</v>
      </c>
      <c r="C145">
        <f t="shared" si="14"/>
        <v>89317299600</v>
      </c>
      <c r="D145">
        <f t="shared" si="15"/>
        <v>391805460</v>
      </c>
      <c r="E145">
        <f t="shared" si="16"/>
        <v>880.25904000000003</v>
      </c>
      <c r="F145">
        <f t="shared" si="17"/>
        <v>430.74095999999997</v>
      </c>
      <c r="G145">
        <f t="shared" si="18"/>
        <v>185537.77462172159</v>
      </c>
      <c r="H145">
        <f t="shared" si="19"/>
        <v>424.83960000000002</v>
      </c>
      <c r="I145">
        <f t="shared" si="20"/>
        <v>180488.68572816002</v>
      </c>
    </row>
    <row r="146" spans="1:9" x14ac:dyDescent="0.3">
      <c r="A146">
        <v>141800</v>
      </c>
      <c r="B146">
        <v>690</v>
      </c>
      <c r="C146">
        <f t="shared" si="14"/>
        <v>20107240000</v>
      </c>
      <c r="D146">
        <f t="shared" si="15"/>
        <v>97842000</v>
      </c>
      <c r="E146">
        <f t="shared" si="16"/>
        <v>840.36580000000004</v>
      </c>
      <c r="F146">
        <f t="shared" si="17"/>
        <v>-150.36580000000004</v>
      </c>
      <c r="G146">
        <f t="shared" si="18"/>
        <v>22609.873809640012</v>
      </c>
      <c r="H146">
        <f t="shared" si="19"/>
        <v>-196.16039999999998</v>
      </c>
      <c r="I146">
        <f t="shared" si="20"/>
        <v>38478.90252815999</v>
      </c>
    </row>
    <row r="147" spans="1:9" x14ac:dyDescent="0.3">
      <c r="A147">
        <v>823298</v>
      </c>
      <c r="B147">
        <v>1510</v>
      </c>
      <c r="C147">
        <f t="shared" si="14"/>
        <v>677819596804</v>
      </c>
      <c r="D147">
        <f t="shared" si="15"/>
        <v>1243179980</v>
      </c>
      <c r="E147">
        <f t="shared" si="16"/>
        <v>1013.4662920000001</v>
      </c>
      <c r="F147">
        <f t="shared" si="17"/>
        <v>496.53370799999993</v>
      </c>
      <c r="G147">
        <f t="shared" si="18"/>
        <v>246545.72318022919</v>
      </c>
      <c r="H147">
        <f t="shared" si="19"/>
        <v>623.83960000000002</v>
      </c>
      <c r="I147">
        <f t="shared" si="20"/>
        <v>389175.84652816004</v>
      </c>
    </row>
    <row r="148" spans="1:9" x14ac:dyDescent="0.3">
      <c r="A148">
        <v>7209</v>
      </c>
      <c r="B148">
        <v>722</v>
      </c>
      <c r="C148">
        <f t="shared" si="14"/>
        <v>51969681</v>
      </c>
      <c r="D148">
        <f t="shared" si="15"/>
        <v>5204898</v>
      </c>
      <c r="E148">
        <f t="shared" si="16"/>
        <v>806.17968600000006</v>
      </c>
      <c r="F148">
        <f t="shared" si="17"/>
        <v>-84.179686000000061</v>
      </c>
      <c r="G148">
        <f t="shared" si="18"/>
        <v>7086.2195350586062</v>
      </c>
      <c r="H148">
        <f t="shared" si="19"/>
        <v>-164.16039999999998</v>
      </c>
      <c r="I148">
        <f t="shared" si="20"/>
        <v>26948.636928159995</v>
      </c>
    </row>
    <row r="149" spans="1:9" x14ac:dyDescent="0.3">
      <c r="A149">
        <v>287188</v>
      </c>
      <c r="B149">
        <v>728</v>
      </c>
      <c r="C149">
        <f t="shared" si="14"/>
        <v>82476947344</v>
      </c>
      <c r="D149">
        <f t="shared" si="15"/>
        <v>209072864</v>
      </c>
      <c r="E149">
        <f t="shared" si="16"/>
        <v>877.294352</v>
      </c>
      <c r="F149">
        <f t="shared" si="17"/>
        <v>-149.294352</v>
      </c>
      <c r="G149">
        <f t="shared" si="18"/>
        <v>22288.803539099907</v>
      </c>
      <c r="H149">
        <f t="shared" si="19"/>
        <v>-158.16039999999998</v>
      </c>
      <c r="I149">
        <f t="shared" si="20"/>
        <v>25014.712128159994</v>
      </c>
    </row>
    <row r="150" spans="1:9" x14ac:dyDescent="0.3">
      <c r="A150">
        <v>600900</v>
      </c>
      <c r="B150">
        <v>1111</v>
      </c>
      <c r="C150">
        <f t="shared" si="14"/>
        <v>361080810000</v>
      </c>
      <c r="D150">
        <f t="shared" si="15"/>
        <v>667599900</v>
      </c>
      <c r="E150">
        <f t="shared" si="16"/>
        <v>956.97720000000004</v>
      </c>
      <c r="F150">
        <f t="shared" si="17"/>
        <v>154.02279999999996</v>
      </c>
      <c r="G150">
        <f t="shared" si="18"/>
        <v>23723.022919839987</v>
      </c>
      <c r="H150">
        <f t="shared" si="19"/>
        <v>224.83960000000002</v>
      </c>
      <c r="I150">
        <f t="shared" si="20"/>
        <v>50552.845728160006</v>
      </c>
    </row>
    <row r="151" spans="1:9" x14ac:dyDescent="0.3">
      <c r="A151">
        <v>218701</v>
      </c>
      <c r="B151">
        <v>865</v>
      </c>
      <c r="C151">
        <f t="shared" si="14"/>
        <v>47830127401</v>
      </c>
      <c r="D151">
        <f t="shared" si="15"/>
        <v>189176365</v>
      </c>
      <c r="E151">
        <f t="shared" si="16"/>
        <v>859.89865400000008</v>
      </c>
      <c r="F151">
        <f t="shared" si="17"/>
        <v>5.1013459999999213</v>
      </c>
      <c r="G151">
        <f t="shared" si="18"/>
        <v>26.023731011715196</v>
      </c>
      <c r="H151">
        <f t="shared" si="19"/>
        <v>-21.160399999999981</v>
      </c>
      <c r="I151">
        <f t="shared" si="20"/>
        <v>447.76252815999919</v>
      </c>
    </row>
    <row r="152" spans="1:9" x14ac:dyDescent="0.3">
      <c r="A152">
        <v>336958</v>
      </c>
      <c r="B152">
        <v>1261</v>
      </c>
      <c r="C152">
        <f t="shared" si="14"/>
        <v>113540693764</v>
      </c>
      <c r="D152">
        <f t="shared" si="15"/>
        <v>424904038</v>
      </c>
      <c r="E152">
        <f t="shared" si="16"/>
        <v>889.93593200000009</v>
      </c>
      <c r="F152">
        <f t="shared" si="17"/>
        <v>371.06406799999991</v>
      </c>
      <c r="G152">
        <f t="shared" si="18"/>
        <v>137688.54256070856</v>
      </c>
      <c r="H152">
        <f t="shared" si="19"/>
        <v>374.83960000000002</v>
      </c>
      <c r="I152">
        <f t="shared" si="20"/>
        <v>140504.72572816</v>
      </c>
    </row>
    <row r="153" spans="1:9" x14ac:dyDescent="0.3">
      <c r="A153">
        <v>94319</v>
      </c>
      <c r="B153">
        <v>692</v>
      </c>
      <c r="C153">
        <f t="shared" si="14"/>
        <v>8896073761</v>
      </c>
      <c r="D153">
        <f t="shared" si="15"/>
        <v>65268748</v>
      </c>
      <c r="E153">
        <f t="shared" si="16"/>
        <v>828.30562600000007</v>
      </c>
      <c r="F153">
        <f t="shared" si="17"/>
        <v>-136.30562600000007</v>
      </c>
      <c r="G153">
        <f t="shared" si="18"/>
        <v>18579.223679251896</v>
      </c>
      <c r="H153">
        <f t="shared" si="19"/>
        <v>-194.16039999999998</v>
      </c>
      <c r="I153">
        <f t="shared" si="20"/>
        <v>37698.260928159994</v>
      </c>
    </row>
    <row r="154" spans="1:9" x14ac:dyDescent="0.3">
      <c r="A154">
        <v>4154</v>
      </c>
      <c r="B154">
        <v>279</v>
      </c>
      <c r="C154">
        <f t="shared" si="14"/>
        <v>17255716</v>
      </c>
      <c r="D154">
        <f t="shared" si="15"/>
        <v>1158966</v>
      </c>
      <c r="E154">
        <f t="shared" si="16"/>
        <v>805.40371600000003</v>
      </c>
      <c r="F154">
        <f t="shared" si="17"/>
        <v>-526.40371600000003</v>
      </c>
      <c r="G154">
        <f t="shared" si="18"/>
        <v>277100.87221860868</v>
      </c>
      <c r="H154">
        <f t="shared" si="19"/>
        <v>-607.16039999999998</v>
      </c>
      <c r="I154">
        <f t="shared" si="20"/>
        <v>368643.75132816</v>
      </c>
    </row>
    <row r="155" spans="1:9" x14ac:dyDescent="0.3">
      <c r="A155">
        <v>99428</v>
      </c>
      <c r="B155">
        <v>1446</v>
      </c>
      <c r="C155">
        <f t="shared" si="14"/>
        <v>9885927184</v>
      </c>
      <c r="D155">
        <f t="shared" si="15"/>
        <v>143772888</v>
      </c>
      <c r="E155">
        <f t="shared" si="16"/>
        <v>829.60331200000007</v>
      </c>
      <c r="F155">
        <f t="shared" si="17"/>
        <v>616.39668799999993</v>
      </c>
      <c r="G155">
        <f t="shared" si="18"/>
        <v>379944.87697736925</v>
      </c>
      <c r="H155">
        <f t="shared" si="19"/>
        <v>559.83960000000002</v>
      </c>
      <c r="I155">
        <f t="shared" si="20"/>
        <v>313420.37772816001</v>
      </c>
    </row>
    <row r="156" spans="1:9" x14ac:dyDescent="0.3">
      <c r="A156">
        <v>63437</v>
      </c>
      <c r="B156">
        <v>469</v>
      </c>
      <c r="C156">
        <f t="shared" si="14"/>
        <v>4024252969</v>
      </c>
      <c r="D156">
        <f t="shared" si="15"/>
        <v>29751953</v>
      </c>
      <c r="E156">
        <f t="shared" si="16"/>
        <v>820.46159799999998</v>
      </c>
      <c r="F156">
        <f t="shared" si="17"/>
        <v>-351.46159799999998</v>
      </c>
      <c r="G156">
        <f t="shared" si="18"/>
        <v>123525.25486871359</v>
      </c>
      <c r="H156">
        <f t="shared" si="19"/>
        <v>-417.16039999999998</v>
      </c>
      <c r="I156">
        <f t="shared" si="20"/>
        <v>174022.79932815998</v>
      </c>
    </row>
    <row r="157" spans="1:9" x14ac:dyDescent="0.3">
      <c r="A157">
        <v>17</v>
      </c>
      <c r="B157">
        <v>351</v>
      </c>
      <c r="C157">
        <f t="shared" si="14"/>
        <v>289</v>
      </c>
      <c r="D157">
        <f t="shared" si="15"/>
        <v>5967</v>
      </c>
      <c r="E157">
        <f t="shared" si="16"/>
        <v>804.35291800000005</v>
      </c>
      <c r="F157">
        <f t="shared" si="17"/>
        <v>-453.35291800000005</v>
      </c>
      <c r="G157">
        <f t="shared" si="18"/>
        <v>205528.86825911477</v>
      </c>
      <c r="H157">
        <f t="shared" si="19"/>
        <v>-535.16039999999998</v>
      </c>
      <c r="I157">
        <f t="shared" si="20"/>
        <v>286396.65372815996</v>
      </c>
    </row>
    <row r="158" spans="1:9" x14ac:dyDescent="0.3">
      <c r="A158">
        <v>29516</v>
      </c>
      <c r="B158">
        <v>276</v>
      </c>
      <c r="C158">
        <f t="shared" si="14"/>
        <v>871194256</v>
      </c>
      <c r="D158">
        <f t="shared" si="15"/>
        <v>8146416</v>
      </c>
      <c r="E158">
        <f t="shared" si="16"/>
        <v>811.84566400000006</v>
      </c>
      <c r="F158">
        <f t="shared" si="17"/>
        <v>-535.84566400000006</v>
      </c>
      <c r="G158">
        <f t="shared" si="18"/>
        <v>287130.57562760095</v>
      </c>
      <c r="H158">
        <f t="shared" si="19"/>
        <v>-610.16039999999998</v>
      </c>
      <c r="I158">
        <f t="shared" si="20"/>
        <v>372295.71372815996</v>
      </c>
    </row>
    <row r="159" spans="1:9" x14ac:dyDescent="0.3">
      <c r="A159">
        <v>94956</v>
      </c>
      <c r="B159">
        <v>1042</v>
      </c>
      <c r="C159">
        <f t="shared" si="14"/>
        <v>9016641936</v>
      </c>
      <c r="D159">
        <f t="shared" si="15"/>
        <v>98944152</v>
      </c>
      <c r="E159">
        <f t="shared" si="16"/>
        <v>828.46742400000005</v>
      </c>
      <c r="F159">
        <f t="shared" si="17"/>
        <v>213.53257599999995</v>
      </c>
      <c r="G159">
        <f t="shared" si="18"/>
        <v>45596.161013195757</v>
      </c>
      <c r="H159">
        <f t="shared" si="19"/>
        <v>155.83960000000002</v>
      </c>
      <c r="I159">
        <f t="shared" si="20"/>
        <v>24285.980928160006</v>
      </c>
    </row>
    <row r="160" spans="1:9" x14ac:dyDescent="0.3">
      <c r="A160">
        <v>30948</v>
      </c>
      <c r="B160">
        <v>496</v>
      </c>
      <c r="C160">
        <f t="shared" si="14"/>
        <v>957778704</v>
      </c>
      <c r="D160">
        <f t="shared" si="15"/>
        <v>15350208</v>
      </c>
      <c r="E160">
        <f t="shared" si="16"/>
        <v>812.20939199999998</v>
      </c>
      <c r="F160">
        <f t="shared" si="17"/>
        <v>-316.20939199999998</v>
      </c>
      <c r="G160">
        <f t="shared" si="18"/>
        <v>99988.379589009652</v>
      </c>
      <c r="H160">
        <f t="shared" si="19"/>
        <v>-390.16039999999998</v>
      </c>
      <c r="I160">
        <f t="shared" si="20"/>
        <v>152225.13772815999</v>
      </c>
    </row>
    <row r="161" spans="1:9" x14ac:dyDescent="0.3">
      <c r="A161">
        <v>718944</v>
      </c>
      <c r="B161">
        <v>1171</v>
      </c>
      <c r="C161">
        <f t="shared" si="14"/>
        <v>516880475136</v>
      </c>
      <c r="D161">
        <f t="shared" si="15"/>
        <v>841883424</v>
      </c>
      <c r="E161">
        <f t="shared" si="16"/>
        <v>986.960376</v>
      </c>
      <c r="F161">
        <f t="shared" si="17"/>
        <v>184.039624</v>
      </c>
      <c r="G161">
        <f t="shared" si="18"/>
        <v>33870.583202061374</v>
      </c>
      <c r="H161">
        <f t="shared" si="19"/>
        <v>284.83960000000002</v>
      </c>
      <c r="I161">
        <f t="shared" si="20"/>
        <v>81133.597728160006</v>
      </c>
    </row>
    <row r="162" spans="1:9" x14ac:dyDescent="0.3">
      <c r="A162">
        <v>6891</v>
      </c>
      <c r="B162">
        <v>453</v>
      </c>
      <c r="C162">
        <f t="shared" si="14"/>
        <v>47485881</v>
      </c>
      <c r="D162">
        <f t="shared" si="15"/>
        <v>3121623</v>
      </c>
      <c r="E162">
        <f t="shared" si="16"/>
        <v>806.09891400000004</v>
      </c>
      <c r="F162">
        <f t="shared" si="17"/>
        <v>-353.09891400000004</v>
      </c>
      <c r="G162">
        <f t="shared" si="18"/>
        <v>124678.84306797943</v>
      </c>
      <c r="H162">
        <f t="shared" si="19"/>
        <v>-433.16039999999998</v>
      </c>
      <c r="I162">
        <f t="shared" si="20"/>
        <v>187627.93212815997</v>
      </c>
    </row>
    <row r="163" spans="1:9" x14ac:dyDescent="0.3">
      <c r="A163">
        <v>155891</v>
      </c>
      <c r="B163">
        <v>648</v>
      </c>
      <c r="C163">
        <f t="shared" si="14"/>
        <v>24302003881</v>
      </c>
      <c r="D163">
        <f t="shared" si="15"/>
        <v>101017368</v>
      </c>
      <c r="E163">
        <f t="shared" si="16"/>
        <v>843.94491400000004</v>
      </c>
      <c r="F163">
        <f t="shared" si="17"/>
        <v>-195.94491400000004</v>
      </c>
      <c r="G163">
        <f t="shared" si="18"/>
        <v>38394.409322467414</v>
      </c>
      <c r="H163">
        <f t="shared" si="19"/>
        <v>-238.16039999999998</v>
      </c>
      <c r="I163">
        <f t="shared" si="20"/>
        <v>56720.376128159995</v>
      </c>
    </row>
    <row r="164" spans="1:9" x14ac:dyDescent="0.3">
      <c r="A164">
        <v>134506</v>
      </c>
      <c r="B164">
        <v>1088</v>
      </c>
      <c r="C164">
        <f t="shared" si="14"/>
        <v>18091864036</v>
      </c>
      <c r="D164">
        <f t="shared" si="15"/>
        <v>146342528</v>
      </c>
      <c r="E164">
        <f t="shared" si="16"/>
        <v>838.51312400000006</v>
      </c>
      <c r="F164">
        <f t="shared" si="17"/>
        <v>249.48687599999994</v>
      </c>
      <c r="G164">
        <f t="shared" si="18"/>
        <v>62243.701296239342</v>
      </c>
      <c r="H164">
        <f t="shared" si="19"/>
        <v>201.83960000000002</v>
      </c>
      <c r="I164">
        <f t="shared" si="20"/>
        <v>40739.224128160007</v>
      </c>
    </row>
    <row r="165" spans="1:9" x14ac:dyDescent="0.3">
      <c r="A165">
        <v>21674</v>
      </c>
      <c r="B165">
        <v>789</v>
      </c>
      <c r="C165">
        <f t="shared" si="14"/>
        <v>469762276</v>
      </c>
      <c r="D165">
        <f t="shared" si="15"/>
        <v>17100786</v>
      </c>
      <c r="E165">
        <f t="shared" si="16"/>
        <v>809.85379599999999</v>
      </c>
      <c r="F165">
        <f t="shared" si="17"/>
        <v>-20.853795999999988</v>
      </c>
      <c r="G165">
        <f t="shared" si="18"/>
        <v>434.88080760961554</v>
      </c>
      <c r="H165">
        <f t="shared" si="19"/>
        <v>-97.160399999999981</v>
      </c>
      <c r="I165">
        <f t="shared" si="20"/>
        <v>9440.1433281599966</v>
      </c>
    </row>
    <row r="166" spans="1:9" x14ac:dyDescent="0.3">
      <c r="A166">
        <v>150175</v>
      </c>
      <c r="B166">
        <v>1123</v>
      </c>
      <c r="C166">
        <f t="shared" si="14"/>
        <v>22552530625</v>
      </c>
      <c r="D166">
        <f t="shared" si="15"/>
        <v>168646525</v>
      </c>
      <c r="E166">
        <f t="shared" si="16"/>
        <v>842.49305000000004</v>
      </c>
      <c r="F166">
        <f t="shared" si="17"/>
        <v>280.50694999999996</v>
      </c>
      <c r="G166">
        <f t="shared" si="18"/>
        <v>78684.14899830248</v>
      </c>
      <c r="H166">
        <f t="shared" si="19"/>
        <v>236.83960000000002</v>
      </c>
      <c r="I166">
        <f t="shared" si="20"/>
        <v>56092.996128160012</v>
      </c>
    </row>
    <row r="167" spans="1:9" x14ac:dyDescent="0.3">
      <c r="A167">
        <v>18585</v>
      </c>
      <c r="B167">
        <v>1064</v>
      </c>
      <c r="C167">
        <f t="shared" si="14"/>
        <v>345402225</v>
      </c>
      <c r="D167">
        <f t="shared" si="15"/>
        <v>19774440</v>
      </c>
      <c r="E167">
        <f t="shared" si="16"/>
        <v>809.06919000000005</v>
      </c>
      <c r="F167">
        <f t="shared" si="17"/>
        <v>254.93080999999995</v>
      </c>
      <c r="G167">
        <f t="shared" si="18"/>
        <v>64989.717887256076</v>
      </c>
      <c r="H167">
        <f t="shared" si="19"/>
        <v>177.83960000000002</v>
      </c>
      <c r="I167">
        <f t="shared" si="20"/>
        <v>31626.923328160006</v>
      </c>
    </row>
    <row r="168" spans="1:9" x14ac:dyDescent="0.3">
      <c r="A168">
        <v>5444</v>
      </c>
      <c r="B168">
        <v>744</v>
      </c>
      <c r="C168">
        <f t="shared" si="14"/>
        <v>29637136</v>
      </c>
      <c r="D168">
        <f t="shared" si="15"/>
        <v>4050336</v>
      </c>
      <c r="E168">
        <f t="shared" si="16"/>
        <v>805.73137600000007</v>
      </c>
      <c r="F168">
        <f t="shared" si="17"/>
        <v>-61.731376000000068</v>
      </c>
      <c r="G168">
        <f t="shared" si="18"/>
        <v>3810.7627828533846</v>
      </c>
      <c r="H168">
        <f t="shared" si="19"/>
        <v>-142.16039999999998</v>
      </c>
      <c r="I168">
        <f t="shared" si="20"/>
        <v>20209.579328159994</v>
      </c>
    </row>
    <row r="169" spans="1:9" x14ac:dyDescent="0.3">
      <c r="A169">
        <v>291026</v>
      </c>
      <c r="B169">
        <v>1296</v>
      </c>
      <c r="C169">
        <f t="shared" si="14"/>
        <v>84696132676</v>
      </c>
      <c r="D169">
        <f t="shared" si="15"/>
        <v>377169696</v>
      </c>
      <c r="E169">
        <f t="shared" si="16"/>
        <v>878.26920400000006</v>
      </c>
      <c r="F169">
        <f t="shared" si="17"/>
        <v>417.73079599999994</v>
      </c>
      <c r="G169">
        <f t="shared" si="18"/>
        <v>174499.01792679357</v>
      </c>
      <c r="H169">
        <f t="shared" si="19"/>
        <v>409.83960000000002</v>
      </c>
      <c r="I169">
        <f t="shared" si="20"/>
        <v>167968.49772816003</v>
      </c>
    </row>
    <row r="170" spans="1:9" x14ac:dyDescent="0.3">
      <c r="A170">
        <v>41321</v>
      </c>
      <c r="B170">
        <v>753</v>
      </c>
      <c r="C170">
        <f t="shared" si="14"/>
        <v>1707425041</v>
      </c>
      <c r="D170">
        <f t="shared" si="15"/>
        <v>31114713</v>
      </c>
      <c r="E170">
        <f t="shared" si="16"/>
        <v>814.84413400000005</v>
      </c>
      <c r="F170">
        <f t="shared" si="17"/>
        <v>-61.844134000000054</v>
      </c>
      <c r="G170">
        <f t="shared" si="18"/>
        <v>3824.6969102099624</v>
      </c>
      <c r="H170">
        <f t="shared" si="19"/>
        <v>-133.16039999999998</v>
      </c>
      <c r="I170">
        <f t="shared" si="20"/>
        <v>17731.692128159993</v>
      </c>
    </row>
    <row r="171" spans="1:9" x14ac:dyDescent="0.3">
      <c r="A171">
        <v>29411</v>
      </c>
      <c r="B171">
        <v>774</v>
      </c>
      <c r="C171">
        <f t="shared" si="14"/>
        <v>865006921</v>
      </c>
      <c r="D171">
        <f t="shared" si="15"/>
        <v>22764114</v>
      </c>
      <c r="E171">
        <f t="shared" si="16"/>
        <v>811.81899400000009</v>
      </c>
      <c r="F171">
        <f t="shared" si="17"/>
        <v>-37.818994000000089</v>
      </c>
      <c r="G171">
        <f t="shared" si="18"/>
        <v>1430.2763071720426</v>
      </c>
      <c r="H171">
        <f t="shared" si="19"/>
        <v>-112.16039999999998</v>
      </c>
      <c r="I171">
        <f t="shared" si="20"/>
        <v>12579.955328159996</v>
      </c>
    </row>
    <row r="172" spans="1:9" x14ac:dyDescent="0.3">
      <c r="A172">
        <v>8445</v>
      </c>
      <c r="B172">
        <v>623</v>
      </c>
      <c r="C172">
        <f t="shared" si="14"/>
        <v>71318025</v>
      </c>
      <c r="D172">
        <f t="shared" si="15"/>
        <v>5261235</v>
      </c>
      <c r="E172">
        <f t="shared" si="16"/>
        <v>806.49363000000005</v>
      </c>
      <c r="F172">
        <f t="shared" si="17"/>
        <v>-183.49363000000005</v>
      </c>
      <c r="G172">
        <f t="shared" si="18"/>
        <v>33669.912250576919</v>
      </c>
      <c r="H172">
        <f t="shared" si="19"/>
        <v>-263.16039999999998</v>
      </c>
      <c r="I172">
        <f t="shared" si="20"/>
        <v>69253.396128159991</v>
      </c>
    </row>
    <row r="173" spans="1:9" x14ac:dyDescent="0.3">
      <c r="A173">
        <v>909311</v>
      </c>
      <c r="B173">
        <v>1368</v>
      </c>
      <c r="C173">
        <f t="shared" si="14"/>
        <v>826846494721</v>
      </c>
      <c r="D173">
        <f t="shared" si="15"/>
        <v>1243937448</v>
      </c>
      <c r="E173">
        <f t="shared" si="16"/>
        <v>1035.313594</v>
      </c>
      <c r="F173">
        <f t="shared" si="17"/>
        <v>332.68640600000003</v>
      </c>
      <c r="G173">
        <f t="shared" si="18"/>
        <v>110680.24473719686</v>
      </c>
      <c r="H173">
        <f t="shared" si="19"/>
        <v>481.83960000000002</v>
      </c>
      <c r="I173">
        <f t="shared" si="20"/>
        <v>232169.40012816002</v>
      </c>
    </row>
    <row r="174" spans="1:9" x14ac:dyDescent="0.3">
      <c r="A174">
        <v>315410</v>
      </c>
      <c r="B174">
        <v>1433</v>
      </c>
      <c r="C174">
        <f t="shared" si="14"/>
        <v>99483468100</v>
      </c>
      <c r="D174">
        <f t="shared" si="15"/>
        <v>451982530</v>
      </c>
      <c r="E174">
        <f t="shared" si="16"/>
        <v>884.46274000000005</v>
      </c>
      <c r="F174">
        <f t="shared" si="17"/>
        <v>548.53725999999995</v>
      </c>
      <c r="G174">
        <f t="shared" si="18"/>
        <v>300893.12560830754</v>
      </c>
      <c r="H174">
        <f t="shared" si="19"/>
        <v>546.83960000000002</v>
      </c>
      <c r="I174">
        <f t="shared" si="20"/>
        <v>299033.54812816001</v>
      </c>
    </row>
    <row r="175" spans="1:9" x14ac:dyDescent="0.3">
      <c r="A175">
        <v>48425</v>
      </c>
      <c r="B175">
        <v>562</v>
      </c>
      <c r="C175">
        <f t="shared" si="14"/>
        <v>2344980625</v>
      </c>
      <c r="D175">
        <f t="shared" si="15"/>
        <v>27214850</v>
      </c>
      <c r="E175">
        <f t="shared" si="16"/>
        <v>816.64855</v>
      </c>
      <c r="F175">
        <f t="shared" si="17"/>
        <v>-254.64855</v>
      </c>
      <c r="G175">
        <f t="shared" si="18"/>
        <v>64845.8840171025</v>
      </c>
      <c r="H175">
        <f t="shared" si="19"/>
        <v>-324.16039999999998</v>
      </c>
      <c r="I175">
        <f t="shared" si="20"/>
        <v>105079.96492815998</v>
      </c>
    </row>
    <row r="176" spans="1:9" x14ac:dyDescent="0.3">
      <c r="A176">
        <v>32142</v>
      </c>
      <c r="B176">
        <v>911</v>
      </c>
      <c r="C176">
        <f t="shared" si="14"/>
        <v>1033108164</v>
      </c>
      <c r="D176">
        <f t="shared" si="15"/>
        <v>29281362</v>
      </c>
      <c r="E176">
        <f t="shared" si="16"/>
        <v>812.51266800000008</v>
      </c>
      <c r="F176">
        <f t="shared" si="17"/>
        <v>98.487331999999924</v>
      </c>
      <c r="G176">
        <f t="shared" si="18"/>
        <v>9699.7545644782094</v>
      </c>
      <c r="H176">
        <f t="shared" si="19"/>
        <v>24.839600000000019</v>
      </c>
      <c r="I176">
        <f t="shared" si="20"/>
        <v>617.0057281600009</v>
      </c>
    </row>
    <row r="177" spans="1:9" x14ac:dyDescent="0.3">
      <c r="A177">
        <v>41161</v>
      </c>
      <c r="B177">
        <v>931</v>
      </c>
      <c r="C177">
        <f t="shared" si="14"/>
        <v>1694227921</v>
      </c>
      <c r="D177">
        <f t="shared" si="15"/>
        <v>38320891</v>
      </c>
      <c r="E177">
        <f t="shared" si="16"/>
        <v>814.803494</v>
      </c>
      <c r="F177">
        <f t="shared" si="17"/>
        <v>116.196506</v>
      </c>
      <c r="G177">
        <f t="shared" si="18"/>
        <v>13501.628006608036</v>
      </c>
      <c r="H177">
        <f t="shared" si="19"/>
        <v>44.839600000000019</v>
      </c>
      <c r="I177">
        <f t="shared" si="20"/>
        <v>2010.5897281600016</v>
      </c>
    </row>
    <row r="178" spans="1:9" x14ac:dyDescent="0.3">
      <c r="A178">
        <v>11799</v>
      </c>
      <c r="B178">
        <v>283</v>
      </c>
      <c r="C178">
        <f t="shared" si="14"/>
        <v>139216401</v>
      </c>
      <c r="D178">
        <f t="shared" si="15"/>
        <v>3339117</v>
      </c>
      <c r="E178">
        <f t="shared" si="16"/>
        <v>807.34554600000001</v>
      </c>
      <c r="F178">
        <f t="shared" si="17"/>
        <v>-524.34554600000001</v>
      </c>
      <c r="G178">
        <f t="shared" si="18"/>
        <v>274938.2516100381</v>
      </c>
      <c r="H178">
        <f t="shared" si="19"/>
        <v>-603.16039999999998</v>
      </c>
      <c r="I178">
        <f t="shared" si="20"/>
        <v>363802.46812815999</v>
      </c>
    </row>
    <row r="179" spans="1:9" x14ac:dyDescent="0.3">
      <c r="A179">
        <v>1654</v>
      </c>
      <c r="B179">
        <v>672</v>
      </c>
      <c r="C179">
        <f t="shared" si="14"/>
        <v>2735716</v>
      </c>
      <c r="D179">
        <f t="shared" si="15"/>
        <v>1111488</v>
      </c>
      <c r="E179">
        <f t="shared" si="16"/>
        <v>804.76871600000004</v>
      </c>
      <c r="F179">
        <f t="shared" si="17"/>
        <v>-132.76871600000004</v>
      </c>
      <c r="G179">
        <f t="shared" si="18"/>
        <v>17627.531948288666</v>
      </c>
      <c r="H179">
        <f t="shared" si="19"/>
        <v>-214.16039999999998</v>
      </c>
      <c r="I179">
        <f t="shared" si="20"/>
        <v>45864.676928159992</v>
      </c>
    </row>
    <row r="180" spans="1:9" x14ac:dyDescent="0.3">
      <c r="A180">
        <v>70328</v>
      </c>
      <c r="B180">
        <v>380</v>
      </c>
      <c r="C180">
        <f t="shared" si="14"/>
        <v>4946027584</v>
      </c>
      <c r="D180">
        <f t="shared" si="15"/>
        <v>26724640</v>
      </c>
      <c r="E180">
        <f t="shared" si="16"/>
        <v>822.21191199999998</v>
      </c>
      <c r="F180">
        <f t="shared" si="17"/>
        <v>-442.21191199999998</v>
      </c>
      <c r="G180">
        <f t="shared" si="18"/>
        <v>195551.37511469572</v>
      </c>
      <c r="H180">
        <f t="shared" si="19"/>
        <v>-506.16039999999998</v>
      </c>
      <c r="I180">
        <f t="shared" si="20"/>
        <v>256198.35052815999</v>
      </c>
    </row>
    <row r="181" spans="1:9" x14ac:dyDescent="0.3">
      <c r="A181">
        <v>109626</v>
      </c>
      <c r="B181">
        <v>1137</v>
      </c>
      <c r="C181">
        <f t="shared" si="14"/>
        <v>12017859876</v>
      </c>
      <c r="D181">
        <f t="shared" si="15"/>
        <v>124644762</v>
      </c>
      <c r="E181">
        <f t="shared" si="16"/>
        <v>832.19360400000005</v>
      </c>
      <c r="F181">
        <f t="shared" si="17"/>
        <v>304.80639599999995</v>
      </c>
      <c r="G181">
        <f t="shared" si="18"/>
        <v>92906.939042508791</v>
      </c>
      <c r="H181">
        <f t="shared" si="19"/>
        <v>250.83960000000002</v>
      </c>
      <c r="I181">
        <f t="shared" si="20"/>
        <v>62920.504928160008</v>
      </c>
    </row>
    <row r="182" spans="1:9" x14ac:dyDescent="0.3">
      <c r="A182">
        <v>151</v>
      </c>
      <c r="B182">
        <v>913</v>
      </c>
      <c r="C182">
        <f t="shared" si="14"/>
        <v>22801</v>
      </c>
      <c r="D182">
        <f t="shared" si="15"/>
        <v>137863</v>
      </c>
      <c r="E182">
        <f t="shared" si="16"/>
        <v>804.38695400000006</v>
      </c>
      <c r="F182">
        <f t="shared" si="17"/>
        <v>108.61304599999994</v>
      </c>
      <c r="G182">
        <f t="shared" si="18"/>
        <v>11796.793761398103</v>
      </c>
      <c r="H182">
        <f t="shared" si="19"/>
        <v>26.839600000000019</v>
      </c>
      <c r="I182">
        <f t="shared" si="20"/>
        <v>720.36412816000097</v>
      </c>
    </row>
    <row r="183" spans="1:9" x14ac:dyDescent="0.3">
      <c r="A183">
        <v>103292</v>
      </c>
      <c r="B183">
        <v>946</v>
      </c>
      <c r="C183">
        <f t="shared" si="14"/>
        <v>10669237264</v>
      </c>
      <c r="D183">
        <f t="shared" si="15"/>
        <v>97714232</v>
      </c>
      <c r="E183">
        <f t="shared" si="16"/>
        <v>830.58476800000005</v>
      </c>
      <c r="F183">
        <f t="shared" si="17"/>
        <v>115.41523199999995</v>
      </c>
      <c r="G183">
        <f t="shared" si="18"/>
        <v>13320.675777613811</v>
      </c>
      <c r="H183">
        <f t="shared" si="19"/>
        <v>59.839600000000019</v>
      </c>
      <c r="I183">
        <f t="shared" si="20"/>
        <v>3580.7777281600024</v>
      </c>
    </row>
    <row r="184" spans="1:9" x14ac:dyDescent="0.3">
      <c r="A184">
        <v>114848</v>
      </c>
      <c r="B184">
        <v>929</v>
      </c>
      <c r="C184">
        <f t="shared" si="14"/>
        <v>13190063104</v>
      </c>
      <c r="D184">
        <f t="shared" si="15"/>
        <v>106693792</v>
      </c>
      <c r="E184">
        <f t="shared" si="16"/>
        <v>833.519992</v>
      </c>
      <c r="F184">
        <f t="shared" si="17"/>
        <v>95.480007999999998</v>
      </c>
      <c r="G184">
        <f t="shared" si="18"/>
        <v>9116.4319276800634</v>
      </c>
      <c r="H184">
        <f t="shared" si="19"/>
        <v>42.839600000000019</v>
      </c>
      <c r="I184">
        <f t="shared" si="20"/>
        <v>1835.2313281600016</v>
      </c>
    </row>
    <row r="185" spans="1:9" x14ac:dyDescent="0.3">
      <c r="A185">
        <v>35585</v>
      </c>
      <c r="B185">
        <v>441</v>
      </c>
      <c r="C185">
        <f t="shared" si="14"/>
        <v>1266292225</v>
      </c>
      <c r="D185">
        <f t="shared" si="15"/>
        <v>15692985</v>
      </c>
      <c r="E185">
        <f t="shared" si="16"/>
        <v>813.38719000000003</v>
      </c>
      <c r="F185">
        <f t="shared" si="17"/>
        <v>-372.38719000000003</v>
      </c>
      <c r="G185">
        <f t="shared" si="18"/>
        <v>138672.21927609612</v>
      </c>
      <c r="H185">
        <f t="shared" si="19"/>
        <v>-445.16039999999998</v>
      </c>
      <c r="I185">
        <f t="shared" si="20"/>
        <v>198167.78172815999</v>
      </c>
    </row>
    <row r="186" spans="1:9" x14ac:dyDescent="0.3">
      <c r="A186">
        <v>263437</v>
      </c>
      <c r="B186">
        <v>1099</v>
      </c>
      <c r="C186">
        <f t="shared" si="14"/>
        <v>69399052969</v>
      </c>
      <c r="D186">
        <f t="shared" si="15"/>
        <v>289517263</v>
      </c>
      <c r="E186">
        <f t="shared" si="16"/>
        <v>871.26159800000005</v>
      </c>
      <c r="F186">
        <f t="shared" si="17"/>
        <v>227.73840199999995</v>
      </c>
      <c r="G186">
        <f t="shared" si="18"/>
        <v>51864.779745513581</v>
      </c>
      <c r="H186">
        <f t="shared" si="19"/>
        <v>212.83960000000002</v>
      </c>
      <c r="I186">
        <f t="shared" si="20"/>
        <v>45300.695328160007</v>
      </c>
    </row>
    <row r="187" spans="1:9" x14ac:dyDescent="0.3">
      <c r="A187">
        <v>55836</v>
      </c>
      <c r="B187">
        <v>359</v>
      </c>
      <c r="C187">
        <f t="shared" si="14"/>
        <v>3117658896</v>
      </c>
      <c r="D187">
        <f t="shared" si="15"/>
        <v>20045124</v>
      </c>
      <c r="E187">
        <f t="shared" si="16"/>
        <v>818.53094400000009</v>
      </c>
      <c r="F187">
        <f t="shared" si="17"/>
        <v>-459.53094400000009</v>
      </c>
      <c r="G187">
        <f t="shared" si="18"/>
        <v>211168.68849353123</v>
      </c>
      <c r="H187">
        <f t="shared" si="19"/>
        <v>-527.16039999999998</v>
      </c>
      <c r="I187">
        <f t="shared" si="20"/>
        <v>277898.08732816001</v>
      </c>
    </row>
    <row r="188" spans="1:9" x14ac:dyDescent="0.3">
      <c r="A188">
        <v>7931</v>
      </c>
      <c r="B188">
        <v>1086</v>
      </c>
      <c r="C188">
        <f t="shared" si="14"/>
        <v>62900761</v>
      </c>
      <c r="D188">
        <f t="shared" si="15"/>
        <v>8613066</v>
      </c>
      <c r="E188">
        <f t="shared" si="16"/>
        <v>806.36307399999998</v>
      </c>
      <c r="F188">
        <f t="shared" si="17"/>
        <v>279.63692600000002</v>
      </c>
      <c r="G188">
        <f t="shared" si="18"/>
        <v>78196.810382729484</v>
      </c>
      <c r="H188">
        <f t="shared" si="19"/>
        <v>199.83960000000002</v>
      </c>
      <c r="I188">
        <f t="shared" si="20"/>
        <v>39935.86572816001</v>
      </c>
    </row>
    <row r="189" spans="1:9" x14ac:dyDescent="0.3">
      <c r="A189">
        <v>12129</v>
      </c>
      <c r="B189">
        <v>316</v>
      </c>
      <c r="C189">
        <f t="shared" si="14"/>
        <v>147112641</v>
      </c>
      <c r="D189">
        <f t="shared" si="15"/>
        <v>3832764</v>
      </c>
      <c r="E189">
        <f t="shared" si="16"/>
        <v>807.42936600000007</v>
      </c>
      <c r="F189">
        <f t="shared" si="17"/>
        <v>-491.42936600000007</v>
      </c>
      <c r="G189">
        <f t="shared" si="18"/>
        <v>241502.82176716204</v>
      </c>
      <c r="H189">
        <f t="shared" si="19"/>
        <v>-570.16039999999998</v>
      </c>
      <c r="I189">
        <f t="shared" si="20"/>
        <v>325082.88172815996</v>
      </c>
    </row>
    <row r="190" spans="1:9" x14ac:dyDescent="0.3">
      <c r="A190">
        <v>108697</v>
      </c>
      <c r="B190">
        <v>891</v>
      </c>
      <c r="C190">
        <f t="shared" si="14"/>
        <v>11815037809</v>
      </c>
      <c r="D190">
        <f t="shared" si="15"/>
        <v>96849027</v>
      </c>
      <c r="E190">
        <f t="shared" si="16"/>
        <v>831.95763800000009</v>
      </c>
      <c r="F190">
        <f t="shared" si="17"/>
        <v>59.042361999999912</v>
      </c>
      <c r="G190">
        <f t="shared" si="18"/>
        <v>3486.0005105390337</v>
      </c>
      <c r="H190">
        <f t="shared" si="19"/>
        <v>4.8396000000000186</v>
      </c>
      <c r="I190">
        <f t="shared" si="20"/>
        <v>23.421728160000178</v>
      </c>
    </row>
    <row r="191" spans="1:9" x14ac:dyDescent="0.3">
      <c r="A191">
        <v>71140</v>
      </c>
      <c r="B191">
        <v>810</v>
      </c>
      <c r="C191">
        <f t="shared" si="14"/>
        <v>5060899600</v>
      </c>
      <c r="D191">
        <f t="shared" si="15"/>
        <v>57623400</v>
      </c>
      <c r="E191">
        <f t="shared" si="16"/>
        <v>822.41816000000006</v>
      </c>
      <c r="F191">
        <f t="shared" si="17"/>
        <v>-12.418160000000057</v>
      </c>
      <c r="G191">
        <f t="shared" si="18"/>
        <v>154.21069778560141</v>
      </c>
      <c r="H191">
        <f t="shared" si="19"/>
        <v>-76.160399999999981</v>
      </c>
      <c r="I191">
        <f t="shared" si="20"/>
        <v>5800.4065281599969</v>
      </c>
    </row>
    <row r="192" spans="1:9" x14ac:dyDescent="0.3">
      <c r="A192">
        <v>582736</v>
      </c>
      <c r="B192">
        <v>1639</v>
      </c>
      <c r="C192">
        <f t="shared" si="14"/>
        <v>339581245696</v>
      </c>
      <c r="D192">
        <f t="shared" si="15"/>
        <v>955104304</v>
      </c>
      <c r="E192">
        <f t="shared" si="16"/>
        <v>952.36354400000005</v>
      </c>
      <c r="F192">
        <f t="shared" si="17"/>
        <v>686.63645599999995</v>
      </c>
      <c r="G192">
        <f t="shared" si="18"/>
        <v>471469.62270823988</v>
      </c>
      <c r="H192">
        <f t="shared" si="19"/>
        <v>752.83960000000002</v>
      </c>
      <c r="I192">
        <f t="shared" si="20"/>
        <v>566767.46332816</v>
      </c>
    </row>
    <row r="193" spans="1:9" x14ac:dyDescent="0.3">
      <c r="A193">
        <v>670</v>
      </c>
      <c r="B193">
        <v>577</v>
      </c>
      <c r="C193">
        <f t="shared" si="14"/>
        <v>448900</v>
      </c>
      <c r="D193">
        <f t="shared" si="15"/>
        <v>386590</v>
      </c>
      <c r="E193">
        <f t="shared" si="16"/>
        <v>804.51877999999999</v>
      </c>
      <c r="F193">
        <f t="shared" si="17"/>
        <v>-227.51877999999999</v>
      </c>
      <c r="G193">
        <f t="shared" si="18"/>
        <v>51764.795252688396</v>
      </c>
      <c r="H193">
        <f t="shared" si="19"/>
        <v>-309.16039999999998</v>
      </c>
      <c r="I193">
        <f t="shared" si="20"/>
        <v>95580.152928159994</v>
      </c>
    </row>
    <row r="194" spans="1:9" x14ac:dyDescent="0.3">
      <c r="A194">
        <v>123760</v>
      </c>
      <c r="B194">
        <v>922</v>
      </c>
      <c r="C194">
        <f t="shared" si="14"/>
        <v>15316537600</v>
      </c>
      <c r="D194">
        <f t="shared" si="15"/>
        <v>114106720</v>
      </c>
      <c r="E194">
        <f t="shared" si="16"/>
        <v>835.78363999999999</v>
      </c>
      <c r="F194">
        <f t="shared" si="17"/>
        <v>86.216360000000009</v>
      </c>
      <c r="G194">
        <f t="shared" si="18"/>
        <v>7433.2607316496014</v>
      </c>
      <c r="H194">
        <f t="shared" si="19"/>
        <v>35.839600000000019</v>
      </c>
      <c r="I194">
        <f t="shared" si="20"/>
        <v>1284.4769281600013</v>
      </c>
    </row>
    <row r="195" spans="1:9" x14ac:dyDescent="0.3">
      <c r="A195">
        <v>764393</v>
      </c>
      <c r="B195">
        <v>944</v>
      </c>
      <c r="C195">
        <f t="shared" ref="C195:C258" si="21">PRODUCT(A195,A195)</f>
        <v>584296658449</v>
      </c>
      <c r="D195">
        <f t="shared" ref="D195:D258" si="22">PRODUCT(A195,B195)</f>
        <v>721586992</v>
      </c>
      <c r="E195">
        <f t="shared" ref="E195:E258" si="23">804.3486+PRODUCT(0.000254,A195)</f>
        <v>998.50442199999998</v>
      </c>
      <c r="F195">
        <f t="shared" ref="F195:F258" si="24">B195-E195</f>
        <v>-54.504421999999977</v>
      </c>
      <c r="G195">
        <f t="shared" ref="G195:G258" si="25">PRODUCT(F195,F195)</f>
        <v>2970.7320175540813</v>
      </c>
      <c r="H195">
        <f t="shared" ref="H195:H258" si="26">B195-886.1604</f>
        <v>57.839600000000019</v>
      </c>
      <c r="I195">
        <f t="shared" ref="I195:I258" si="27">PRODUCT(H195,H195)</f>
        <v>3345.4193281600024</v>
      </c>
    </row>
    <row r="196" spans="1:9" x14ac:dyDescent="0.3">
      <c r="A196">
        <v>18620</v>
      </c>
      <c r="B196">
        <v>827</v>
      </c>
      <c r="C196">
        <f t="shared" si="21"/>
        <v>346704400</v>
      </c>
      <c r="D196">
        <f t="shared" si="22"/>
        <v>15398740</v>
      </c>
      <c r="E196">
        <f t="shared" si="23"/>
        <v>809.07808</v>
      </c>
      <c r="F196">
        <f t="shared" si="24"/>
        <v>17.92192</v>
      </c>
      <c r="G196">
        <f t="shared" si="25"/>
        <v>321.1952164864</v>
      </c>
      <c r="H196">
        <f t="shared" si="26"/>
        <v>-59.160399999999981</v>
      </c>
      <c r="I196">
        <f t="shared" si="27"/>
        <v>3499.952928159998</v>
      </c>
    </row>
    <row r="197" spans="1:9" x14ac:dyDescent="0.3">
      <c r="A197">
        <v>1062117</v>
      </c>
      <c r="B197">
        <v>1162</v>
      </c>
      <c r="C197">
        <f t="shared" si="21"/>
        <v>1128092521689</v>
      </c>
      <c r="D197">
        <f t="shared" si="22"/>
        <v>1234179954</v>
      </c>
      <c r="E197">
        <f t="shared" si="23"/>
        <v>1074.1263180000001</v>
      </c>
      <c r="F197">
        <f t="shared" si="24"/>
        <v>87.873681999999917</v>
      </c>
      <c r="G197">
        <f t="shared" si="25"/>
        <v>7721.783988237109</v>
      </c>
      <c r="H197">
        <f t="shared" si="26"/>
        <v>275.83960000000002</v>
      </c>
      <c r="I197">
        <f t="shared" si="27"/>
        <v>76087.484928160004</v>
      </c>
    </row>
    <row r="198" spans="1:9" x14ac:dyDescent="0.3">
      <c r="A198">
        <v>396083</v>
      </c>
      <c r="B198">
        <v>1007</v>
      </c>
      <c r="C198">
        <f t="shared" si="21"/>
        <v>156881742889</v>
      </c>
      <c r="D198">
        <f t="shared" si="22"/>
        <v>398855581</v>
      </c>
      <c r="E198">
        <f t="shared" si="23"/>
        <v>904.95368200000007</v>
      </c>
      <c r="F198">
        <f t="shared" si="24"/>
        <v>102.04631799999993</v>
      </c>
      <c r="G198">
        <f t="shared" si="25"/>
        <v>10413.451017357109</v>
      </c>
      <c r="H198">
        <f t="shared" si="26"/>
        <v>120.83960000000002</v>
      </c>
      <c r="I198">
        <f t="shared" si="27"/>
        <v>14602.208928160004</v>
      </c>
    </row>
    <row r="199" spans="1:9" x14ac:dyDescent="0.3">
      <c r="A199">
        <v>13001</v>
      </c>
      <c r="B199">
        <v>723</v>
      </c>
      <c r="C199">
        <f t="shared" si="21"/>
        <v>169026001</v>
      </c>
      <c r="D199">
        <f t="shared" si="22"/>
        <v>9399723</v>
      </c>
      <c r="E199">
        <f t="shared" si="23"/>
        <v>807.65085399999998</v>
      </c>
      <c r="F199">
        <f t="shared" si="24"/>
        <v>-84.650853999999981</v>
      </c>
      <c r="G199">
        <f t="shared" si="25"/>
        <v>7165.7670829293129</v>
      </c>
      <c r="H199">
        <f t="shared" si="26"/>
        <v>-163.16039999999998</v>
      </c>
      <c r="I199">
        <f t="shared" si="27"/>
        <v>26621.316128159993</v>
      </c>
    </row>
    <row r="200" spans="1:9" x14ac:dyDescent="0.3">
      <c r="A200">
        <v>40535</v>
      </c>
      <c r="B200">
        <v>356</v>
      </c>
      <c r="C200">
        <f t="shared" si="21"/>
        <v>1643086225</v>
      </c>
      <c r="D200">
        <f t="shared" si="22"/>
        <v>14430460</v>
      </c>
      <c r="E200">
        <f t="shared" si="23"/>
        <v>814.64449000000002</v>
      </c>
      <c r="F200">
        <f t="shared" si="24"/>
        <v>-458.64449000000002</v>
      </c>
      <c r="G200">
        <f t="shared" si="25"/>
        <v>210354.76820736012</v>
      </c>
      <c r="H200">
        <f t="shared" si="26"/>
        <v>-530.16039999999998</v>
      </c>
      <c r="I200">
        <f t="shared" si="27"/>
        <v>281070.04972815997</v>
      </c>
    </row>
    <row r="201" spans="1:9" x14ac:dyDescent="0.3">
      <c r="A201">
        <v>77497</v>
      </c>
      <c r="B201">
        <v>886</v>
      </c>
      <c r="C201">
        <f t="shared" si="21"/>
        <v>6005785009</v>
      </c>
      <c r="D201">
        <f t="shared" si="22"/>
        <v>68662342</v>
      </c>
      <c r="E201">
        <f t="shared" si="23"/>
        <v>824.03283800000008</v>
      </c>
      <c r="F201">
        <f t="shared" si="24"/>
        <v>61.967161999999917</v>
      </c>
      <c r="G201">
        <f t="shared" si="25"/>
        <v>3839.9291663342337</v>
      </c>
      <c r="H201">
        <f t="shared" si="26"/>
        <v>-0.16039999999998145</v>
      </c>
      <c r="I201">
        <f t="shared" si="27"/>
        <v>2.5728159999994046E-2</v>
      </c>
    </row>
    <row r="202" spans="1:9" x14ac:dyDescent="0.3">
      <c r="A202">
        <v>7628</v>
      </c>
      <c r="B202">
        <v>727</v>
      </c>
      <c r="C202">
        <f t="shared" si="21"/>
        <v>58186384</v>
      </c>
      <c r="D202">
        <f t="shared" si="22"/>
        <v>5545556</v>
      </c>
      <c r="E202">
        <f t="shared" si="23"/>
        <v>806.286112</v>
      </c>
      <c r="F202">
        <f t="shared" si="24"/>
        <v>-79.286112000000003</v>
      </c>
      <c r="G202">
        <f t="shared" si="25"/>
        <v>6286.2875560765442</v>
      </c>
      <c r="H202">
        <f t="shared" si="26"/>
        <v>-159.16039999999998</v>
      </c>
      <c r="I202">
        <f t="shared" si="27"/>
        <v>25332.032928159995</v>
      </c>
    </row>
    <row r="203" spans="1:9" x14ac:dyDescent="0.3">
      <c r="A203">
        <v>143051</v>
      </c>
      <c r="B203">
        <v>851</v>
      </c>
      <c r="C203">
        <f t="shared" si="21"/>
        <v>20463588601</v>
      </c>
      <c r="D203">
        <f t="shared" si="22"/>
        <v>121736401</v>
      </c>
      <c r="E203">
        <f t="shared" si="23"/>
        <v>840.68355400000007</v>
      </c>
      <c r="F203">
        <f t="shared" si="24"/>
        <v>10.316445999999928</v>
      </c>
      <c r="G203">
        <f t="shared" si="25"/>
        <v>106.42905807091452</v>
      </c>
      <c r="H203">
        <f t="shared" si="26"/>
        <v>-35.160399999999981</v>
      </c>
      <c r="I203">
        <f t="shared" si="27"/>
        <v>1236.2537281599987</v>
      </c>
    </row>
    <row r="204" spans="1:9" x14ac:dyDescent="0.3">
      <c r="A204">
        <v>2873278</v>
      </c>
      <c r="B204">
        <v>1629</v>
      </c>
      <c r="C204">
        <f t="shared" si="21"/>
        <v>8255726465284</v>
      </c>
      <c r="D204">
        <f t="shared" si="22"/>
        <v>4680569862</v>
      </c>
      <c r="E204">
        <f t="shared" si="23"/>
        <v>1534.161212</v>
      </c>
      <c r="F204">
        <f t="shared" si="24"/>
        <v>94.838788000000022</v>
      </c>
      <c r="G204">
        <f t="shared" si="25"/>
        <v>8994.3957093089484</v>
      </c>
      <c r="H204">
        <f t="shared" si="26"/>
        <v>742.83960000000002</v>
      </c>
      <c r="I204">
        <f t="shared" si="27"/>
        <v>551810.67132815998</v>
      </c>
    </row>
    <row r="205" spans="1:9" x14ac:dyDescent="0.3">
      <c r="A205">
        <v>90758</v>
      </c>
      <c r="B205">
        <v>335</v>
      </c>
      <c r="C205">
        <f t="shared" si="21"/>
        <v>8237014564</v>
      </c>
      <c r="D205">
        <f t="shared" si="22"/>
        <v>30403930</v>
      </c>
      <c r="E205">
        <f t="shared" si="23"/>
        <v>827.40113200000008</v>
      </c>
      <c r="F205">
        <f t="shared" si="24"/>
        <v>-492.40113200000008</v>
      </c>
      <c r="G205">
        <f t="shared" si="25"/>
        <v>242458.8747948815</v>
      </c>
      <c r="H205">
        <f t="shared" si="26"/>
        <v>-551.16039999999998</v>
      </c>
      <c r="I205">
        <f t="shared" si="27"/>
        <v>303777.78652815998</v>
      </c>
    </row>
    <row r="206" spans="1:9" x14ac:dyDescent="0.3">
      <c r="A206">
        <v>1108083</v>
      </c>
      <c r="B206">
        <v>1139</v>
      </c>
      <c r="C206">
        <f t="shared" si="21"/>
        <v>1227847934889</v>
      </c>
      <c r="D206">
        <f t="shared" si="22"/>
        <v>1262106537</v>
      </c>
      <c r="E206">
        <f t="shared" si="23"/>
        <v>1085.801682</v>
      </c>
      <c r="F206">
        <f t="shared" si="24"/>
        <v>53.198317999999972</v>
      </c>
      <c r="G206">
        <f t="shared" si="25"/>
        <v>2830.0610380291209</v>
      </c>
      <c r="H206">
        <f t="shared" si="26"/>
        <v>252.83960000000002</v>
      </c>
      <c r="I206">
        <f t="shared" si="27"/>
        <v>63927.863328160012</v>
      </c>
    </row>
    <row r="207" spans="1:9" x14ac:dyDescent="0.3">
      <c r="A207">
        <v>888</v>
      </c>
      <c r="B207">
        <v>384</v>
      </c>
      <c r="C207">
        <f t="shared" si="21"/>
        <v>788544</v>
      </c>
      <c r="D207">
        <f t="shared" si="22"/>
        <v>340992</v>
      </c>
      <c r="E207">
        <f t="shared" si="23"/>
        <v>804.57415200000003</v>
      </c>
      <c r="F207">
        <f t="shared" si="24"/>
        <v>-420.57415200000003</v>
      </c>
      <c r="G207">
        <f t="shared" si="25"/>
        <v>176882.61733051913</v>
      </c>
      <c r="H207">
        <f t="shared" si="26"/>
        <v>-502.16039999999998</v>
      </c>
      <c r="I207">
        <f t="shared" si="27"/>
        <v>252165.06732815999</v>
      </c>
    </row>
    <row r="208" spans="1:9" x14ac:dyDescent="0.3">
      <c r="A208">
        <v>36037</v>
      </c>
      <c r="B208">
        <v>961</v>
      </c>
      <c r="C208">
        <f t="shared" si="21"/>
        <v>1298665369</v>
      </c>
      <c r="D208">
        <f t="shared" si="22"/>
        <v>34631557</v>
      </c>
      <c r="E208">
        <f t="shared" si="23"/>
        <v>813.50199800000007</v>
      </c>
      <c r="F208">
        <f t="shared" si="24"/>
        <v>147.49800199999993</v>
      </c>
      <c r="G208">
        <f t="shared" si="25"/>
        <v>21755.660593991983</v>
      </c>
      <c r="H208">
        <f t="shared" si="26"/>
        <v>74.839600000000019</v>
      </c>
      <c r="I208">
        <f t="shared" si="27"/>
        <v>5600.965728160003</v>
      </c>
    </row>
    <row r="209" spans="1:9" x14ac:dyDescent="0.3">
      <c r="A209">
        <v>1208875</v>
      </c>
      <c r="B209">
        <v>1306</v>
      </c>
      <c r="C209">
        <f t="shared" si="21"/>
        <v>1461378765625</v>
      </c>
      <c r="D209">
        <f t="shared" si="22"/>
        <v>1578790750</v>
      </c>
      <c r="E209">
        <f t="shared" si="23"/>
        <v>1111.4028499999999</v>
      </c>
      <c r="F209">
        <f t="shared" si="24"/>
        <v>194.59715000000006</v>
      </c>
      <c r="G209">
        <f t="shared" si="25"/>
        <v>37868.05078812252</v>
      </c>
      <c r="H209">
        <f t="shared" si="26"/>
        <v>419.83960000000002</v>
      </c>
      <c r="I209">
        <f t="shared" si="27"/>
        <v>176265.28972816002</v>
      </c>
    </row>
    <row r="210" spans="1:9" x14ac:dyDescent="0.3">
      <c r="A210">
        <v>79</v>
      </c>
      <c r="B210">
        <v>967</v>
      </c>
      <c r="C210">
        <f t="shared" si="21"/>
        <v>6241</v>
      </c>
      <c r="D210">
        <f t="shared" si="22"/>
        <v>76393</v>
      </c>
      <c r="E210">
        <f t="shared" si="23"/>
        <v>804.36866600000008</v>
      </c>
      <c r="F210">
        <f t="shared" si="24"/>
        <v>162.63133399999992</v>
      </c>
      <c r="G210">
        <f t="shared" si="25"/>
        <v>26448.950798619531</v>
      </c>
      <c r="H210">
        <f t="shared" si="26"/>
        <v>80.839600000000019</v>
      </c>
      <c r="I210">
        <f t="shared" si="27"/>
        <v>6535.0409281600032</v>
      </c>
    </row>
    <row r="211" spans="1:9" x14ac:dyDescent="0.3">
      <c r="A211">
        <v>1026686</v>
      </c>
      <c r="B211">
        <v>1200</v>
      </c>
      <c r="C211">
        <f t="shared" si="21"/>
        <v>1054084142596</v>
      </c>
      <c r="D211">
        <f t="shared" si="22"/>
        <v>1232023200</v>
      </c>
      <c r="E211">
        <f t="shared" si="23"/>
        <v>1065.1268439999999</v>
      </c>
      <c r="F211">
        <f t="shared" si="24"/>
        <v>134.87315600000011</v>
      </c>
      <c r="G211">
        <f t="shared" si="25"/>
        <v>18190.768209400365</v>
      </c>
      <c r="H211">
        <f t="shared" si="26"/>
        <v>313.83960000000002</v>
      </c>
      <c r="I211">
        <f t="shared" si="27"/>
        <v>98495.294528160011</v>
      </c>
    </row>
    <row r="212" spans="1:9" x14ac:dyDescent="0.3">
      <c r="A212">
        <v>21436</v>
      </c>
      <c r="B212">
        <v>920</v>
      </c>
      <c r="C212">
        <f t="shared" si="21"/>
        <v>459502096</v>
      </c>
      <c r="D212">
        <f t="shared" si="22"/>
        <v>19721120</v>
      </c>
      <c r="E212">
        <f t="shared" si="23"/>
        <v>809.79334400000005</v>
      </c>
      <c r="F212">
        <f t="shared" si="24"/>
        <v>110.20665599999995</v>
      </c>
      <c r="G212">
        <f t="shared" si="25"/>
        <v>12145.507026702326</v>
      </c>
      <c r="H212">
        <f t="shared" si="26"/>
        <v>33.839600000000019</v>
      </c>
      <c r="I212">
        <f t="shared" si="27"/>
        <v>1145.1185281600012</v>
      </c>
    </row>
    <row r="213" spans="1:9" x14ac:dyDescent="0.3">
      <c r="A213">
        <v>34249</v>
      </c>
      <c r="B213">
        <v>894</v>
      </c>
      <c r="C213">
        <f t="shared" si="21"/>
        <v>1172994001</v>
      </c>
      <c r="D213">
        <f t="shared" si="22"/>
        <v>30618606</v>
      </c>
      <c r="E213">
        <f t="shared" si="23"/>
        <v>813.04784600000005</v>
      </c>
      <c r="F213">
        <f t="shared" si="24"/>
        <v>80.95215399999995</v>
      </c>
      <c r="G213">
        <f t="shared" si="25"/>
        <v>6553.2512372397077</v>
      </c>
      <c r="H213">
        <f t="shared" si="26"/>
        <v>7.8396000000000186</v>
      </c>
      <c r="I213">
        <f t="shared" si="27"/>
        <v>61.45932816000029</v>
      </c>
    </row>
    <row r="214" spans="1:9" x14ac:dyDescent="0.3">
      <c r="A214">
        <v>172</v>
      </c>
      <c r="B214">
        <v>496</v>
      </c>
      <c r="C214">
        <f t="shared" si="21"/>
        <v>29584</v>
      </c>
      <c r="D214">
        <f t="shared" si="22"/>
        <v>85312</v>
      </c>
      <c r="E214">
        <f t="shared" si="23"/>
        <v>804.39228800000001</v>
      </c>
      <c r="F214">
        <f t="shared" si="24"/>
        <v>-308.39228800000001</v>
      </c>
      <c r="G214">
        <f t="shared" si="25"/>
        <v>95105.803297874954</v>
      </c>
      <c r="H214">
        <f t="shared" si="26"/>
        <v>-390.16039999999998</v>
      </c>
      <c r="I214">
        <f t="shared" si="27"/>
        <v>152225.13772815999</v>
      </c>
    </row>
    <row r="215" spans="1:9" x14ac:dyDescent="0.3">
      <c r="A215">
        <v>180886</v>
      </c>
      <c r="B215">
        <v>975</v>
      </c>
      <c r="C215">
        <f t="shared" si="21"/>
        <v>32719744996</v>
      </c>
      <c r="D215">
        <f t="shared" si="22"/>
        <v>176363850</v>
      </c>
      <c r="E215">
        <f t="shared" si="23"/>
        <v>850.29364400000009</v>
      </c>
      <c r="F215">
        <f t="shared" si="24"/>
        <v>124.70635599999991</v>
      </c>
      <c r="G215">
        <f t="shared" si="25"/>
        <v>15551.675226798714</v>
      </c>
      <c r="H215">
        <f t="shared" si="26"/>
        <v>88.839600000000019</v>
      </c>
      <c r="I215">
        <f t="shared" si="27"/>
        <v>7892.4745281600035</v>
      </c>
    </row>
    <row r="216" spans="1:9" x14ac:dyDescent="0.3">
      <c r="A216">
        <v>25482</v>
      </c>
      <c r="B216">
        <v>946</v>
      </c>
      <c r="C216">
        <f t="shared" si="21"/>
        <v>649332324</v>
      </c>
      <c r="D216">
        <f t="shared" si="22"/>
        <v>24105972</v>
      </c>
      <c r="E216">
        <f t="shared" si="23"/>
        <v>810.82102800000007</v>
      </c>
      <c r="F216">
        <f t="shared" si="24"/>
        <v>135.17897199999993</v>
      </c>
      <c r="G216">
        <f t="shared" si="25"/>
        <v>18273.354470976767</v>
      </c>
      <c r="H216">
        <f t="shared" si="26"/>
        <v>59.839600000000019</v>
      </c>
      <c r="I216">
        <f t="shared" si="27"/>
        <v>3580.7777281600024</v>
      </c>
    </row>
    <row r="217" spans="1:9" x14ac:dyDescent="0.3">
      <c r="A217">
        <v>16153</v>
      </c>
      <c r="B217">
        <v>499</v>
      </c>
      <c r="C217">
        <f t="shared" si="21"/>
        <v>260919409</v>
      </c>
      <c r="D217">
        <f t="shared" si="22"/>
        <v>8060347</v>
      </c>
      <c r="E217">
        <f t="shared" si="23"/>
        <v>808.45146199999999</v>
      </c>
      <c r="F217">
        <f t="shared" si="24"/>
        <v>-309.45146199999999</v>
      </c>
      <c r="G217">
        <f t="shared" si="25"/>
        <v>95760.207333937433</v>
      </c>
      <c r="H217">
        <f t="shared" si="26"/>
        <v>-387.16039999999998</v>
      </c>
      <c r="I217">
        <f t="shared" si="27"/>
        <v>149893.17532816</v>
      </c>
    </row>
    <row r="218" spans="1:9" x14ac:dyDescent="0.3">
      <c r="A218">
        <v>102018</v>
      </c>
      <c r="B218">
        <v>846</v>
      </c>
      <c r="C218">
        <f t="shared" si="21"/>
        <v>10407672324</v>
      </c>
      <c r="D218">
        <f t="shared" si="22"/>
        <v>86307228</v>
      </c>
      <c r="E218">
        <f t="shared" si="23"/>
        <v>830.26117199999999</v>
      </c>
      <c r="F218">
        <f t="shared" si="24"/>
        <v>15.738828000000012</v>
      </c>
      <c r="G218">
        <f t="shared" si="25"/>
        <v>247.71070681358438</v>
      </c>
      <c r="H218">
        <f t="shared" si="26"/>
        <v>-40.160399999999981</v>
      </c>
      <c r="I218">
        <f t="shared" si="27"/>
        <v>1612.8577281599985</v>
      </c>
    </row>
    <row r="219" spans="1:9" x14ac:dyDescent="0.3">
      <c r="A219">
        <v>23473</v>
      </c>
      <c r="B219">
        <v>879</v>
      </c>
      <c r="C219">
        <f t="shared" si="21"/>
        <v>550981729</v>
      </c>
      <c r="D219">
        <f t="shared" si="22"/>
        <v>20632767</v>
      </c>
      <c r="E219">
        <f t="shared" si="23"/>
        <v>810.310742</v>
      </c>
      <c r="F219">
        <f t="shared" si="24"/>
        <v>68.689257999999995</v>
      </c>
      <c r="G219">
        <f t="shared" si="25"/>
        <v>4718.2141645905631</v>
      </c>
      <c r="H219">
        <f t="shared" si="26"/>
        <v>-7.1603999999999814</v>
      </c>
      <c r="I219">
        <f t="shared" si="27"/>
        <v>51.271328159999733</v>
      </c>
    </row>
    <row r="220" spans="1:9" x14ac:dyDescent="0.3">
      <c r="A220">
        <v>108451</v>
      </c>
      <c r="B220">
        <v>879</v>
      </c>
      <c r="C220">
        <f t="shared" si="21"/>
        <v>11761619401</v>
      </c>
      <c r="D220">
        <f t="shared" si="22"/>
        <v>95328429</v>
      </c>
      <c r="E220">
        <f t="shared" si="23"/>
        <v>831.89515400000005</v>
      </c>
      <c r="F220">
        <f t="shared" si="24"/>
        <v>47.104845999999952</v>
      </c>
      <c r="G220">
        <f t="shared" si="25"/>
        <v>2218.8665166837113</v>
      </c>
      <c r="H220">
        <f t="shared" si="26"/>
        <v>-7.1603999999999814</v>
      </c>
      <c r="I220">
        <f t="shared" si="27"/>
        <v>51.271328159999733</v>
      </c>
    </row>
    <row r="221" spans="1:9" x14ac:dyDescent="0.3">
      <c r="A221">
        <v>47458</v>
      </c>
      <c r="B221">
        <v>661</v>
      </c>
      <c r="C221">
        <f t="shared" si="21"/>
        <v>2252261764</v>
      </c>
      <c r="D221">
        <f t="shared" si="22"/>
        <v>31369738</v>
      </c>
      <c r="E221">
        <f t="shared" si="23"/>
        <v>816.40293200000008</v>
      </c>
      <c r="F221">
        <f t="shared" si="24"/>
        <v>-155.40293200000008</v>
      </c>
      <c r="G221">
        <f t="shared" si="25"/>
        <v>24150.071274196649</v>
      </c>
      <c r="H221">
        <f t="shared" si="26"/>
        <v>-225.16039999999998</v>
      </c>
      <c r="I221">
        <f t="shared" si="27"/>
        <v>50697.205728159992</v>
      </c>
    </row>
    <row r="222" spans="1:9" x14ac:dyDescent="0.3">
      <c r="A222">
        <v>55166</v>
      </c>
      <c r="B222">
        <v>909</v>
      </c>
      <c r="C222">
        <f t="shared" si="21"/>
        <v>3043287556</v>
      </c>
      <c r="D222">
        <f t="shared" si="22"/>
        <v>50145894</v>
      </c>
      <c r="E222">
        <f t="shared" si="23"/>
        <v>818.36076400000002</v>
      </c>
      <c r="F222">
        <f t="shared" si="24"/>
        <v>90.639235999999983</v>
      </c>
      <c r="G222">
        <f t="shared" si="25"/>
        <v>8215.4711026636924</v>
      </c>
      <c r="H222">
        <f t="shared" si="26"/>
        <v>22.839600000000019</v>
      </c>
      <c r="I222">
        <f t="shared" si="27"/>
        <v>521.64732816000082</v>
      </c>
    </row>
    <row r="223" spans="1:9" x14ac:dyDescent="0.3">
      <c r="A223">
        <v>222573</v>
      </c>
      <c r="B223">
        <v>1194</v>
      </c>
      <c r="C223">
        <f t="shared" si="21"/>
        <v>49538740329</v>
      </c>
      <c r="D223">
        <f t="shared" si="22"/>
        <v>265752162</v>
      </c>
      <c r="E223">
        <f t="shared" si="23"/>
        <v>860.88214200000004</v>
      </c>
      <c r="F223">
        <f t="shared" si="24"/>
        <v>333.11785799999996</v>
      </c>
      <c r="G223">
        <f t="shared" si="25"/>
        <v>110967.50731850813</v>
      </c>
      <c r="H223">
        <f t="shared" si="26"/>
        <v>307.83960000000002</v>
      </c>
      <c r="I223">
        <f t="shared" si="27"/>
        <v>94765.219328160005</v>
      </c>
    </row>
    <row r="224" spans="1:9" x14ac:dyDescent="0.3">
      <c r="A224">
        <v>492068</v>
      </c>
      <c r="B224">
        <v>1440</v>
      </c>
      <c r="C224">
        <f t="shared" si="21"/>
        <v>242130916624</v>
      </c>
      <c r="D224">
        <f t="shared" si="22"/>
        <v>708577920</v>
      </c>
      <c r="E224">
        <f t="shared" si="23"/>
        <v>929.33387200000004</v>
      </c>
      <c r="F224">
        <f t="shared" si="24"/>
        <v>510.66612799999996</v>
      </c>
      <c r="G224">
        <f t="shared" si="25"/>
        <v>260779.89428651234</v>
      </c>
      <c r="H224">
        <f t="shared" si="26"/>
        <v>553.83960000000002</v>
      </c>
      <c r="I224">
        <f t="shared" si="27"/>
        <v>306738.30252816004</v>
      </c>
    </row>
    <row r="225" spans="1:9" x14ac:dyDescent="0.3">
      <c r="A225">
        <v>565235</v>
      </c>
      <c r="B225">
        <v>717</v>
      </c>
      <c r="C225">
        <f t="shared" si="21"/>
        <v>319490605225</v>
      </c>
      <c r="D225">
        <f t="shared" si="22"/>
        <v>405273495</v>
      </c>
      <c r="E225">
        <f t="shared" si="23"/>
        <v>947.91829000000007</v>
      </c>
      <c r="F225">
        <f t="shared" si="24"/>
        <v>-230.91829000000007</v>
      </c>
      <c r="G225">
        <f t="shared" si="25"/>
        <v>53323.256656524136</v>
      </c>
      <c r="H225">
        <f t="shared" si="26"/>
        <v>-169.16039999999998</v>
      </c>
      <c r="I225">
        <f t="shared" si="27"/>
        <v>28615.240928159994</v>
      </c>
    </row>
    <row r="226" spans="1:9" x14ac:dyDescent="0.3">
      <c r="A226">
        <v>52937</v>
      </c>
      <c r="B226">
        <v>1066</v>
      </c>
      <c r="C226">
        <f t="shared" si="21"/>
        <v>2802325969</v>
      </c>
      <c r="D226">
        <f t="shared" si="22"/>
        <v>56430842</v>
      </c>
      <c r="E226">
        <f t="shared" si="23"/>
        <v>817.79459800000006</v>
      </c>
      <c r="F226">
        <f t="shared" si="24"/>
        <v>248.20540199999994</v>
      </c>
      <c r="G226">
        <f t="shared" si="25"/>
        <v>61605.921581981573</v>
      </c>
      <c r="H226">
        <f t="shared" si="26"/>
        <v>179.83960000000002</v>
      </c>
      <c r="I226">
        <f t="shared" si="27"/>
        <v>32342.281728160007</v>
      </c>
    </row>
    <row r="227" spans="1:9" x14ac:dyDescent="0.3">
      <c r="A227">
        <v>318</v>
      </c>
      <c r="B227">
        <v>278</v>
      </c>
      <c r="C227">
        <f t="shared" si="21"/>
        <v>101124</v>
      </c>
      <c r="D227">
        <f t="shared" si="22"/>
        <v>88404</v>
      </c>
      <c r="E227">
        <f t="shared" si="23"/>
        <v>804.42937200000006</v>
      </c>
      <c r="F227">
        <f t="shared" si="24"/>
        <v>-526.42937200000006</v>
      </c>
      <c r="G227">
        <f t="shared" si="25"/>
        <v>277127.88370431442</v>
      </c>
      <c r="H227">
        <f t="shared" si="26"/>
        <v>-608.16039999999998</v>
      </c>
      <c r="I227">
        <f t="shared" si="27"/>
        <v>369859.07212815998</v>
      </c>
    </row>
    <row r="228" spans="1:9" x14ac:dyDescent="0.3">
      <c r="A228">
        <v>272999</v>
      </c>
      <c r="B228">
        <v>806</v>
      </c>
      <c r="C228">
        <f t="shared" si="21"/>
        <v>74528454001</v>
      </c>
      <c r="D228">
        <f t="shared" si="22"/>
        <v>220037194</v>
      </c>
      <c r="E228">
        <f t="shared" si="23"/>
        <v>873.69034600000009</v>
      </c>
      <c r="F228">
        <f t="shared" si="24"/>
        <v>-67.69034600000009</v>
      </c>
      <c r="G228">
        <f t="shared" si="25"/>
        <v>4581.9829415997283</v>
      </c>
      <c r="H228">
        <f t="shared" si="26"/>
        <v>-80.160399999999981</v>
      </c>
      <c r="I228">
        <f t="shared" si="27"/>
        <v>6425.6897281599968</v>
      </c>
    </row>
    <row r="229" spans="1:9" x14ac:dyDescent="0.3">
      <c r="A229">
        <v>697701</v>
      </c>
      <c r="B229">
        <v>1197</v>
      </c>
      <c r="C229">
        <f t="shared" si="21"/>
        <v>486786685401</v>
      </c>
      <c r="D229">
        <f t="shared" si="22"/>
        <v>835148097</v>
      </c>
      <c r="E229">
        <f t="shared" si="23"/>
        <v>981.56465400000002</v>
      </c>
      <c r="F229">
        <f t="shared" si="24"/>
        <v>215.43534599999998</v>
      </c>
      <c r="G229">
        <f t="shared" si="25"/>
        <v>46412.388306139706</v>
      </c>
      <c r="H229">
        <f t="shared" si="26"/>
        <v>310.83960000000002</v>
      </c>
      <c r="I229">
        <f t="shared" si="27"/>
        <v>96621.256928160015</v>
      </c>
    </row>
    <row r="230" spans="1:9" x14ac:dyDescent="0.3">
      <c r="A230">
        <v>473137</v>
      </c>
      <c r="B230">
        <v>1129</v>
      </c>
      <c r="C230">
        <f t="shared" si="21"/>
        <v>223858620769</v>
      </c>
      <c r="D230">
        <f t="shared" si="22"/>
        <v>534171673</v>
      </c>
      <c r="E230">
        <f t="shared" si="23"/>
        <v>924.525398</v>
      </c>
      <c r="F230">
        <f t="shared" si="24"/>
        <v>204.474602</v>
      </c>
      <c r="G230">
        <f t="shared" si="25"/>
        <v>41809.862863058406</v>
      </c>
      <c r="H230">
        <f t="shared" si="26"/>
        <v>242.83960000000002</v>
      </c>
      <c r="I230">
        <f t="shared" si="27"/>
        <v>58971.071328160011</v>
      </c>
    </row>
    <row r="231" spans="1:9" x14ac:dyDescent="0.3">
      <c r="A231">
        <v>69009</v>
      </c>
      <c r="B231">
        <v>764</v>
      </c>
      <c r="C231">
        <f t="shared" si="21"/>
        <v>4762242081</v>
      </c>
      <c r="D231">
        <f t="shared" si="22"/>
        <v>52722876</v>
      </c>
      <c r="E231">
        <f t="shared" si="23"/>
        <v>821.87688600000001</v>
      </c>
      <c r="F231">
        <f t="shared" si="24"/>
        <v>-57.876886000000013</v>
      </c>
      <c r="G231">
        <f t="shared" si="25"/>
        <v>3349.7339330569976</v>
      </c>
      <c r="H231">
        <f t="shared" si="26"/>
        <v>-122.16039999999998</v>
      </c>
      <c r="I231">
        <f t="shared" si="27"/>
        <v>14923.163328159995</v>
      </c>
    </row>
    <row r="232" spans="1:9" x14ac:dyDescent="0.3">
      <c r="A232">
        <v>14141</v>
      </c>
      <c r="B232">
        <v>807</v>
      </c>
      <c r="C232">
        <f t="shared" si="21"/>
        <v>199967881</v>
      </c>
      <c r="D232">
        <f t="shared" si="22"/>
        <v>11411787</v>
      </c>
      <c r="E232">
        <f t="shared" si="23"/>
        <v>807.94041400000003</v>
      </c>
      <c r="F232">
        <f t="shared" si="24"/>
        <v>-0.9404140000000325</v>
      </c>
      <c r="G232">
        <f t="shared" si="25"/>
        <v>0.88437849139606117</v>
      </c>
      <c r="H232">
        <f t="shared" si="26"/>
        <v>-79.160399999999981</v>
      </c>
      <c r="I232">
        <f t="shared" si="27"/>
        <v>6266.3689281599973</v>
      </c>
    </row>
    <row r="233" spans="1:9" x14ac:dyDescent="0.3">
      <c r="A233">
        <v>527752</v>
      </c>
      <c r="B233">
        <v>1208</v>
      </c>
      <c r="C233">
        <f t="shared" si="21"/>
        <v>278522173504</v>
      </c>
      <c r="D233">
        <f t="shared" si="22"/>
        <v>637524416</v>
      </c>
      <c r="E233">
        <f t="shared" si="23"/>
        <v>938.39760799999999</v>
      </c>
      <c r="F233">
        <f t="shared" si="24"/>
        <v>269.60239200000001</v>
      </c>
      <c r="G233">
        <f t="shared" si="25"/>
        <v>72685.449772121676</v>
      </c>
      <c r="H233">
        <f t="shared" si="26"/>
        <v>321.83960000000002</v>
      </c>
      <c r="I233">
        <f t="shared" si="27"/>
        <v>103580.72812816002</v>
      </c>
    </row>
    <row r="234" spans="1:9" x14ac:dyDescent="0.3">
      <c r="A234">
        <v>2093088</v>
      </c>
      <c r="B234">
        <v>1332</v>
      </c>
      <c r="C234">
        <f t="shared" si="21"/>
        <v>4381017375744</v>
      </c>
      <c r="D234">
        <f t="shared" si="22"/>
        <v>2787993216</v>
      </c>
      <c r="E234">
        <f t="shared" si="23"/>
        <v>1335.9929520000001</v>
      </c>
      <c r="F234">
        <f t="shared" si="24"/>
        <v>-3.9929520000000593</v>
      </c>
      <c r="G234">
        <f t="shared" si="25"/>
        <v>15.943665674304475</v>
      </c>
      <c r="H234">
        <f t="shared" si="26"/>
        <v>445.83960000000002</v>
      </c>
      <c r="I234">
        <f t="shared" si="27"/>
        <v>198772.94892816001</v>
      </c>
    </row>
    <row r="235" spans="1:9" x14ac:dyDescent="0.3">
      <c r="A235">
        <v>1096</v>
      </c>
      <c r="B235">
        <v>391</v>
      </c>
      <c r="C235">
        <f t="shared" si="21"/>
        <v>1201216</v>
      </c>
      <c r="D235">
        <f t="shared" si="22"/>
        <v>428536</v>
      </c>
      <c r="E235">
        <f t="shared" si="23"/>
        <v>804.62698399999999</v>
      </c>
      <c r="F235">
        <f t="shared" si="24"/>
        <v>-413.62698399999999</v>
      </c>
      <c r="G235">
        <f t="shared" si="25"/>
        <v>171087.28189293624</v>
      </c>
      <c r="H235">
        <f t="shared" si="26"/>
        <v>-495.16039999999998</v>
      </c>
      <c r="I235">
        <f t="shared" si="27"/>
        <v>245183.82172815999</v>
      </c>
    </row>
    <row r="236" spans="1:9" x14ac:dyDescent="0.3">
      <c r="A236">
        <v>82487</v>
      </c>
      <c r="B236">
        <v>914</v>
      </c>
      <c r="C236">
        <f t="shared" si="21"/>
        <v>6804105169</v>
      </c>
      <c r="D236">
        <f t="shared" si="22"/>
        <v>75393118</v>
      </c>
      <c r="E236">
        <f t="shared" si="23"/>
        <v>825.300298</v>
      </c>
      <c r="F236">
        <f t="shared" si="24"/>
        <v>88.699702000000002</v>
      </c>
      <c r="G236">
        <f t="shared" si="25"/>
        <v>7867.6371348888042</v>
      </c>
      <c r="H236">
        <f t="shared" si="26"/>
        <v>27.839600000000019</v>
      </c>
      <c r="I236">
        <f t="shared" si="27"/>
        <v>775.04332816000101</v>
      </c>
    </row>
    <row r="237" spans="1:9" x14ac:dyDescent="0.3">
      <c r="A237">
        <v>758</v>
      </c>
      <c r="B237">
        <v>733</v>
      </c>
      <c r="C237">
        <f t="shared" si="21"/>
        <v>574564</v>
      </c>
      <c r="D237">
        <f t="shared" si="22"/>
        <v>555614</v>
      </c>
      <c r="E237">
        <f t="shared" si="23"/>
        <v>804.54113200000006</v>
      </c>
      <c r="F237">
        <f t="shared" si="24"/>
        <v>-71.541132000000061</v>
      </c>
      <c r="G237">
        <f t="shared" si="25"/>
        <v>5118.1335678414325</v>
      </c>
      <c r="H237">
        <f t="shared" si="26"/>
        <v>-153.16039999999998</v>
      </c>
      <c r="I237">
        <f t="shared" si="27"/>
        <v>23458.108128159995</v>
      </c>
    </row>
    <row r="238" spans="1:9" x14ac:dyDescent="0.3">
      <c r="A238">
        <v>313723</v>
      </c>
      <c r="B238">
        <v>991</v>
      </c>
      <c r="C238">
        <f t="shared" si="21"/>
        <v>98422120729</v>
      </c>
      <c r="D238">
        <f t="shared" si="22"/>
        <v>310899493</v>
      </c>
      <c r="E238">
        <f t="shared" si="23"/>
        <v>884.03424200000006</v>
      </c>
      <c r="F238">
        <f t="shared" si="24"/>
        <v>106.96575799999994</v>
      </c>
      <c r="G238">
        <f t="shared" si="25"/>
        <v>11441.67338451455</v>
      </c>
      <c r="H238">
        <f t="shared" si="26"/>
        <v>104.83960000000002</v>
      </c>
      <c r="I238">
        <f t="shared" si="27"/>
        <v>10991.341728160003</v>
      </c>
    </row>
    <row r="239" spans="1:9" x14ac:dyDescent="0.3">
      <c r="A239">
        <v>34362</v>
      </c>
      <c r="B239">
        <v>389</v>
      </c>
      <c r="C239">
        <f t="shared" si="21"/>
        <v>1180747044</v>
      </c>
      <c r="D239">
        <f t="shared" si="22"/>
        <v>13366818</v>
      </c>
      <c r="E239">
        <f t="shared" si="23"/>
        <v>813.076548</v>
      </c>
      <c r="F239">
        <f t="shared" si="24"/>
        <v>-424.076548</v>
      </c>
      <c r="G239">
        <f t="shared" si="25"/>
        <v>179840.91856359629</v>
      </c>
      <c r="H239">
        <f t="shared" si="26"/>
        <v>-497.16039999999998</v>
      </c>
      <c r="I239">
        <f t="shared" si="27"/>
        <v>247168.46332815997</v>
      </c>
    </row>
    <row r="240" spans="1:9" x14ac:dyDescent="0.3">
      <c r="A240">
        <v>10487</v>
      </c>
      <c r="B240">
        <v>933</v>
      </c>
      <c r="C240">
        <f t="shared" si="21"/>
        <v>109977169</v>
      </c>
      <c r="D240">
        <f t="shared" si="22"/>
        <v>9784371</v>
      </c>
      <c r="E240">
        <f t="shared" si="23"/>
        <v>807.01229799999999</v>
      </c>
      <c r="F240">
        <f t="shared" si="24"/>
        <v>125.98770200000001</v>
      </c>
      <c r="G240">
        <f t="shared" si="25"/>
        <v>15872.901055240807</v>
      </c>
      <c r="H240">
        <f t="shared" si="26"/>
        <v>46.839600000000019</v>
      </c>
      <c r="I240">
        <f t="shared" si="27"/>
        <v>2193.9481281600019</v>
      </c>
    </row>
    <row r="241" spans="1:9" x14ac:dyDescent="0.3">
      <c r="A241">
        <v>1826</v>
      </c>
      <c r="B241">
        <v>1034</v>
      </c>
      <c r="C241">
        <f t="shared" si="21"/>
        <v>3334276</v>
      </c>
      <c r="D241">
        <f t="shared" si="22"/>
        <v>1888084</v>
      </c>
      <c r="E241">
        <f t="shared" si="23"/>
        <v>804.81240400000002</v>
      </c>
      <c r="F241">
        <f t="shared" si="24"/>
        <v>229.18759599999998</v>
      </c>
      <c r="G241">
        <f t="shared" si="25"/>
        <v>52526.954160259207</v>
      </c>
      <c r="H241">
        <f t="shared" si="26"/>
        <v>147.83960000000002</v>
      </c>
      <c r="I241">
        <f t="shared" si="27"/>
        <v>21856.547328160006</v>
      </c>
    </row>
    <row r="242" spans="1:9" x14ac:dyDescent="0.3">
      <c r="A242">
        <v>15167</v>
      </c>
      <c r="B242">
        <v>895</v>
      </c>
      <c r="C242">
        <f t="shared" si="21"/>
        <v>230037889</v>
      </c>
      <c r="D242">
        <f t="shared" si="22"/>
        <v>13574465</v>
      </c>
      <c r="E242">
        <f t="shared" si="23"/>
        <v>808.20101799999998</v>
      </c>
      <c r="F242">
        <f t="shared" si="24"/>
        <v>86.798982000000024</v>
      </c>
      <c r="G242">
        <f t="shared" si="25"/>
        <v>7534.0632762363284</v>
      </c>
      <c r="H242">
        <f t="shared" si="26"/>
        <v>8.8396000000000186</v>
      </c>
      <c r="I242">
        <f t="shared" si="27"/>
        <v>78.138528160000334</v>
      </c>
    </row>
    <row r="243" spans="1:9" x14ac:dyDescent="0.3">
      <c r="A243">
        <v>45684</v>
      </c>
      <c r="B243">
        <v>1157</v>
      </c>
      <c r="C243">
        <f t="shared" si="21"/>
        <v>2087027856</v>
      </c>
      <c r="D243">
        <f t="shared" si="22"/>
        <v>52856388</v>
      </c>
      <c r="E243">
        <f t="shared" si="23"/>
        <v>815.95233600000006</v>
      </c>
      <c r="F243">
        <f t="shared" si="24"/>
        <v>341.04766399999994</v>
      </c>
      <c r="G243">
        <f t="shared" si="25"/>
        <v>116313.50911985686</v>
      </c>
      <c r="H243">
        <f t="shared" si="26"/>
        <v>270.83960000000002</v>
      </c>
      <c r="I243">
        <f t="shared" si="27"/>
        <v>73354.08892816001</v>
      </c>
    </row>
    <row r="244" spans="1:9" x14ac:dyDescent="0.3">
      <c r="A244">
        <v>73475</v>
      </c>
      <c r="B244">
        <v>816</v>
      </c>
      <c r="C244">
        <f t="shared" si="21"/>
        <v>5398575625</v>
      </c>
      <c r="D244">
        <f t="shared" si="22"/>
        <v>59955600</v>
      </c>
      <c r="E244">
        <f t="shared" si="23"/>
        <v>823.01125000000002</v>
      </c>
      <c r="F244">
        <f t="shared" si="24"/>
        <v>-7.0112500000000182</v>
      </c>
      <c r="G244">
        <f t="shared" si="25"/>
        <v>49.157626562500255</v>
      </c>
      <c r="H244">
        <f t="shared" si="26"/>
        <v>-70.160399999999981</v>
      </c>
      <c r="I244">
        <f t="shared" si="27"/>
        <v>4922.4817281599971</v>
      </c>
    </row>
    <row r="245" spans="1:9" x14ac:dyDescent="0.3">
      <c r="A245">
        <v>1578</v>
      </c>
      <c r="B245">
        <v>290</v>
      </c>
      <c r="C245">
        <f t="shared" si="21"/>
        <v>2490084</v>
      </c>
      <c r="D245">
        <f t="shared" si="22"/>
        <v>457620</v>
      </c>
      <c r="E245">
        <f t="shared" si="23"/>
        <v>804.74941200000001</v>
      </c>
      <c r="F245">
        <f t="shared" si="24"/>
        <v>-514.74941200000001</v>
      </c>
      <c r="G245">
        <f t="shared" si="25"/>
        <v>264966.95715434576</v>
      </c>
      <c r="H245">
        <f t="shared" si="26"/>
        <v>-596.16039999999998</v>
      </c>
      <c r="I245">
        <f t="shared" si="27"/>
        <v>355407.22252815997</v>
      </c>
    </row>
    <row r="246" spans="1:9" x14ac:dyDescent="0.3">
      <c r="A246">
        <v>70521</v>
      </c>
      <c r="B246">
        <v>1083</v>
      </c>
      <c r="C246">
        <f t="shared" si="21"/>
        <v>4973211441</v>
      </c>
      <c r="D246">
        <f t="shared" si="22"/>
        <v>76374243</v>
      </c>
      <c r="E246">
        <f t="shared" si="23"/>
        <v>822.26093400000002</v>
      </c>
      <c r="F246">
        <f t="shared" si="24"/>
        <v>260.73906599999998</v>
      </c>
      <c r="G246">
        <f t="shared" si="25"/>
        <v>67984.860538552341</v>
      </c>
      <c r="H246">
        <f t="shared" si="26"/>
        <v>196.83960000000002</v>
      </c>
      <c r="I246">
        <f t="shared" si="27"/>
        <v>38745.828128160007</v>
      </c>
    </row>
    <row r="247" spans="1:9" x14ac:dyDescent="0.3">
      <c r="A247">
        <v>3260</v>
      </c>
      <c r="B247">
        <v>883</v>
      </c>
      <c r="C247">
        <f t="shared" si="21"/>
        <v>10627600</v>
      </c>
      <c r="D247">
        <f t="shared" si="22"/>
        <v>2878580</v>
      </c>
      <c r="E247">
        <f t="shared" si="23"/>
        <v>805.17664000000002</v>
      </c>
      <c r="F247">
        <f t="shared" si="24"/>
        <v>77.82335999999998</v>
      </c>
      <c r="G247">
        <f t="shared" si="25"/>
        <v>6056.4753616895969</v>
      </c>
      <c r="H247">
        <f t="shared" si="26"/>
        <v>-3.1603999999999814</v>
      </c>
      <c r="I247">
        <f t="shared" si="27"/>
        <v>9.9881281599998832</v>
      </c>
    </row>
    <row r="248" spans="1:9" x14ac:dyDescent="0.3">
      <c r="A248">
        <v>10468</v>
      </c>
      <c r="B248">
        <v>819</v>
      </c>
      <c r="C248">
        <f t="shared" si="21"/>
        <v>109579024</v>
      </c>
      <c r="D248">
        <f t="shared" si="22"/>
        <v>8573292</v>
      </c>
      <c r="E248">
        <f t="shared" si="23"/>
        <v>807.00747200000001</v>
      </c>
      <c r="F248">
        <f t="shared" si="24"/>
        <v>11.992527999999993</v>
      </c>
      <c r="G248">
        <f t="shared" si="25"/>
        <v>143.82072783078382</v>
      </c>
      <c r="H248">
        <f t="shared" si="26"/>
        <v>-67.160399999999981</v>
      </c>
      <c r="I248">
        <f t="shared" si="27"/>
        <v>4510.5193281599977</v>
      </c>
    </row>
    <row r="249" spans="1:9" x14ac:dyDescent="0.3">
      <c r="A249">
        <v>49721</v>
      </c>
      <c r="B249">
        <v>562</v>
      </c>
      <c r="C249">
        <f t="shared" si="21"/>
        <v>2472177841</v>
      </c>
      <c r="D249">
        <f t="shared" si="22"/>
        <v>27943202</v>
      </c>
      <c r="E249">
        <f t="shared" si="23"/>
        <v>816.97773400000005</v>
      </c>
      <c r="F249">
        <f t="shared" si="24"/>
        <v>-254.97773400000005</v>
      </c>
      <c r="G249">
        <f t="shared" si="25"/>
        <v>65013.644835774787</v>
      </c>
      <c r="H249">
        <f t="shared" si="26"/>
        <v>-324.16039999999998</v>
      </c>
      <c r="I249">
        <f t="shared" si="27"/>
        <v>105079.96492815998</v>
      </c>
    </row>
    <row r="250" spans="1:9" x14ac:dyDescent="0.3">
      <c r="A250">
        <v>83395</v>
      </c>
      <c r="B250">
        <v>875</v>
      </c>
      <c r="C250">
        <f t="shared" si="21"/>
        <v>6954726025</v>
      </c>
      <c r="D250">
        <f t="shared" si="22"/>
        <v>72970625</v>
      </c>
      <c r="E250">
        <f t="shared" si="23"/>
        <v>825.53093000000001</v>
      </c>
      <c r="F250">
        <f t="shared" si="24"/>
        <v>49.469069999999988</v>
      </c>
      <c r="G250">
        <f t="shared" si="25"/>
        <v>2447.1888866648987</v>
      </c>
      <c r="H250">
        <f t="shared" si="26"/>
        <v>-11.160399999999981</v>
      </c>
      <c r="I250">
        <f t="shared" si="27"/>
        <v>124.55452815999959</v>
      </c>
    </row>
    <row r="251" spans="1:9" x14ac:dyDescent="0.3">
      <c r="A251">
        <v>111918</v>
      </c>
      <c r="B251">
        <v>858</v>
      </c>
      <c r="C251">
        <f t="shared" si="21"/>
        <v>12525638724</v>
      </c>
      <c r="D251">
        <f t="shared" si="22"/>
        <v>96025644</v>
      </c>
      <c r="E251">
        <f t="shared" si="23"/>
        <v>832.77577200000007</v>
      </c>
      <c r="F251">
        <f t="shared" si="24"/>
        <v>25.224227999999925</v>
      </c>
      <c r="G251">
        <f t="shared" si="25"/>
        <v>636.26167819598027</v>
      </c>
      <c r="H251">
        <f t="shared" si="26"/>
        <v>-28.160399999999981</v>
      </c>
      <c r="I251">
        <f t="shared" si="27"/>
        <v>793.00812815999893</v>
      </c>
    </row>
    <row r="252" spans="1:9" x14ac:dyDescent="0.3">
      <c r="A252">
        <v>68419</v>
      </c>
      <c r="B252">
        <v>1231</v>
      </c>
      <c r="C252">
        <f t="shared" si="21"/>
        <v>4681159561</v>
      </c>
      <c r="D252">
        <f t="shared" si="22"/>
        <v>84223789</v>
      </c>
      <c r="E252">
        <f t="shared" si="23"/>
        <v>821.72702600000002</v>
      </c>
      <c r="F252">
        <f t="shared" si="24"/>
        <v>409.27297399999998</v>
      </c>
      <c r="G252">
        <f t="shared" si="25"/>
        <v>167504.36724680464</v>
      </c>
      <c r="H252">
        <f t="shared" si="26"/>
        <v>344.83960000000002</v>
      </c>
      <c r="I252">
        <f t="shared" si="27"/>
        <v>118914.34972816001</v>
      </c>
    </row>
    <row r="253" spans="1:9" x14ac:dyDescent="0.3">
      <c r="A253">
        <v>1549315</v>
      </c>
      <c r="B253">
        <v>1441</v>
      </c>
      <c r="C253">
        <f t="shared" si="21"/>
        <v>2400376969225</v>
      </c>
      <c r="D253">
        <f t="shared" si="22"/>
        <v>2232562915</v>
      </c>
      <c r="E253">
        <f t="shared" si="23"/>
        <v>1197.8746100000001</v>
      </c>
      <c r="F253">
        <f t="shared" si="24"/>
        <v>243.12538999999992</v>
      </c>
      <c r="G253">
        <f t="shared" si="25"/>
        <v>59109.95526265206</v>
      </c>
      <c r="H253">
        <f t="shared" si="26"/>
        <v>554.83960000000002</v>
      </c>
      <c r="I253">
        <f t="shared" si="27"/>
        <v>307846.98172816</v>
      </c>
    </row>
    <row r="254" spans="1:9" x14ac:dyDescent="0.3">
      <c r="A254">
        <v>30116</v>
      </c>
      <c r="B254">
        <v>700</v>
      </c>
      <c r="C254">
        <f t="shared" si="21"/>
        <v>906973456</v>
      </c>
      <c r="D254">
        <f t="shared" si="22"/>
        <v>21081200</v>
      </c>
      <c r="E254">
        <f t="shared" si="23"/>
        <v>811.998064</v>
      </c>
      <c r="F254">
        <f t="shared" si="24"/>
        <v>-111.998064</v>
      </c>
      <c r="G254">
        <f t="shared" si="25"/>
        <v>12543.566339748097</v>
      </c>
      <c r="H254">
        <f t="shared" si="26"/>
        <v>-186.16039999999998</v>
      </c>
      <c r="I254">
        <f t="shared" si="27"/>
        <v>34655.694528159991</v>
      </c>
    </row>
    <row r="255" spans="1:9" x14ac:dyDescent="0.3">
      <c r="A255">
        <v>3351</v>
      </c>
      <c r="B255">
        <v>122</v>
      </c>
      <c r="C255">
        <f t="shared" si="21"/>
        <v>11229201</v>
      </c>
      <c r="D255">
        <f t="shared" si="22"/>
        <v>408822</v>
      </c>
      <c r="E255">
        <f t="shared" si="23"/>
        <v>805.19975399999998</v>
      </c>
      <c r="F255">
        <f t="shared" si="24"/>
        <v>-683.19975399999998</v>
      </c>
      <c r="G255">
        <f t="shared" si="25"/>
        <v>466761.90386566048</v>
      </c>
      <c r="H255">
        <f t="shared" si="26"/>
        <v>-764.16039999999998</v>
      </c>
      <c r="I255">
        <f t="shared" si="27"/>
        <v>583941.11692815996</v>
      </c>
    </row>
    <row r="256" spans="1:9" x14ac:dyDescent="0.3">
      <c r="A256">
        <v>93875</v>
      </c>
      <c r="B256">
        <v>1095</v>
      </c>
      <c r="C256">
        <f t="shared" si="21"/>
        <v>8812515625</v>
      </c>
      <c r="D256">
        <f t="shared" si="22"/>
        <v>102793125</v>
      </c>
      <c r="E256">
        <f t="shared" si="23"/>
        <v>828.19285000000002</v>
      </c>
      <c r="F256">
        <f t="shared" si="24"/>
        <v>266.80714999999998</v>
      </c>
      <c r="G256">
        <f t="shared" si="25"/>
        <v>71186.055291122495</v>
      </c>
      <c r="H256">
        <f t="shared" si="26"/>
        <v>208.83960000000002</v>
      </c>
      <c r="I256">
        <f t="shared" si="27"/>
        <v>43613.978528160005</v>
      </c>
    </row>
    <row r="257" spans="1:9" x14ac:dyDescent="0.3">
      <c r="A257">
        <v>160521</v>
      </c>
      <c r="B257">
        <v>706</v>
      </c>
      <c r="C257">
        <f t="shared" si="21"/>
        <v>25766991441</v>
      </c>
      <c r="D257">
        <f t="shared" si="22"/>
        <v>113327826</v>
      </c>
      <c r="E257">
        <f t="shared" si="23"/>
        <v>845.12093400000003</v>
      </c>
      <c r="F257">
        <f t="shared" si="24"/>
        <v>-139.12093400000003</v>
      </c>
      <c r="G257">
        <f t="shared" si="25"/>
        <v>19354.634277032364</v>
      </c>
      <c r="H257">
        <f t="shared" si="26"/>
        <v>-180.16039999999998</v>
      </c>
      <c r="I257">
        <f t="shared" si="27"/>
        <v>32457.769728159994</v>
      </c>
    </row>
    <row r="258" spans="1:9" x14ac:dyDescent="0.3">
      <c r="A258">
        <v>385976</v>
      </c>
      <c r="B258">
        <v>933</v>
      </c>
      <c r="C258">
        <f t="shared" si="21"/>
        <v>148977472576</v>
      </c>
      <c r="D258">
        <f t="shared" si="22"/>
        <v>360115608</v>
      </c>
      <c r="E258">
        <f t="shared" si="23"/>
        <v>902.38650400000006</v>
      </c>
      <c r="F258">
        <f t="shared" si="24"/>
        <v>30.613495999999941</v>
      </c>
      <c r="G258">
        <f t="shared" si="25"/>
        <v>937.18613734201233</v>
      </c>
      <c r="H258">
        <f t="shared" si="26"/>
        <v>46.839600000000019</v>
      </c>
      <c r="I258">
        <f t="shared" si="27"/>
        <v>2193.9481281600019</v>
      </c>
    </row>
    <row r="259" spans="1:9" x14ac:dyDescent="0.3">
      <c r="A259">
        <v>220602</v>
      </c>
      <c r="B259">
        <v>1446</v>
      </c>
      <c r="C259">
        <f t="shared" ref="C259:C322" si="28">PRODUCT(A259,A259)</f>
        <v>48665242404</v>
      </c>
      <c r="D259">
        <f t="shared" ref="D259:D322" si="29">PRODUCT(A259,B259)</f>
        <v>318990492</v>
      </c>
      <c r="E259">
        <f t="shared" ref="E259:E322" si="30">804.3486+PRODUCT(0.000254,A259)</f>
        <v>860.38150800000005</v>
      </c>
      <c r="F259">
        <f t="shared" ref="F259:F322" si="31">B259-E259</f>
        <v>585.61849199999995</v>
      </c>
      <c r="G259">
        <f t="shared" ref="G259:G322" si="32">PRODUCT(F259,F259)</f>
        <v>342949.01817235403</v>
      </c>
      <c r="H259">
        <f t="shared" ref="H259:H322" si="33">B259-886.1604</f>
        <v>559.83960000000002</v>
      </c>
      <c r="I259">
        <f t="shared" ref="I259:I322" si="34">PRODUCT(H259,H259)</f>
        <v>313420.37772816001</v>
      </c>
    </row>
    <row r="260" spans="1:9" x14ac:dyDescent="0.3">
      <c r="A260">
        <v>260751</v>
      </c>
      <c r="B260">
        <v>991</v>
      </c>
      <c r="C260">
        <f t="shared" si="28"/>
        <v>67991084001</v>
      </c>
      <c r="D260">
        <f t="shared" si="29"/>
        <v>258404241</v>
      </c>
      <c r="E260">
        <f t="shared" si="30"/>
        <v>870.57935400000008</v>
      </c>
      <c r="F260">
        <f t="shared" si="31"/>
        <v>120.42064599999992</v>
      </c>
      <c r="G260">
        <f t="shared" si="32"/>
        <v>14501.131983057297</v>
      </c>
      <c r="H260">
        <f t="shared" si="33"/>
        <v>104.83960000000002</v>
      </c>
      <c r="I260">
        <f t="shared" si="34"/>
        <v>10991.341728160003</v>
      </c>
    </row>
    <row r="261" spans="1:9" x14ac:dyDescent="0.3">
      <c r="A261">
        <v>129503</v>
      </c>
      <c r="B261">
        <v>983</v>
      </c>
      <c r="C261">
        <f t="shared" si="28"/>
        <v>16771027009</v>
      </c>
      <c r="D261">
        <f t="shared" si="29"/>
        <v>127301449</v>
      </c>
      <c r="E261">
        <f t="shared" si="30"/>
        <v>837.24236200000007</v>
      </c>
      <c r="F261">
        <f t="shared" si="31"/>
        <v>145.75763799999993</v>
      </c>
      <c r="G261">
        <f t="shared" si="32"/>
        <v>21245.289035339025</v>
      </c>
      <c r="H261">
        <f t="shared" si="33"/>
        <v>96.839600000000019</v>
      </c>
      <c r="I261">
        <f t="shared" si="34"/>
        <v>9377.9081281600029</v>
      </c>
    </row>
    <row r="262" spans="1:9" x14ac:dyDescent="0.3">
      <c r="A262">
        <v>1041766</v>
      </c>
      <c r="B262">
        <v>1003</v>
      </c>
      <c r="C262">
        <f t="shared" si="28"/>
        <v>1085276398756</v>
      </c>
      <c r="D262">
        <f t="shared" si="29"/>
        <v>1044891298</v>
      </c>
      <c r="E262">
        <f t="shared" si="30"/>
        <v>1068.9571639999999</v>
      </c>
      <c r="F262">
        <f t="shared" si="31"/>
        <v>-65.957163999999921</v>
      </c>
      <c r="G262">
        <f t="shared" si="32"/>
        <v>4350.3474829228853</v>
      </c>
      <c r="H262">
        <f t="shared" si="33"/>
        <v>116.83960000000002</v>
      </c>
      <c r="I262">
        <f t="shared" si="34"/>
        <v>13651.492128160004</v>
      </c>
    </row>
    <row r="263" spans="1:9" x14ac:dyDescent="0.3">
      <c r="A263">
        <v>61286</v>
      </c>
      <c r="B263">
        <v>806</v>
      </c>
      <c r="C263">
        <f t="shared" si="28"/>
        <v>3755973796</v>
      </c>
      <c r="D263">
        <f t="shared" si="29"/>
        <v>49396516</v>
      </c>
      <c r="E263">
        <f t="shared" si="30"/>
        <v>819.91524400000003</v>
      </c>
      <c r="F263">
        <f t="shared" si="31"/>
        <v>-13.91524400000003</v>
      </c>
      <c r="G263">
        <f t="shared" si="32"/>
        <v>193.63401557953682</v>
      </c>
      <c r="H263">
        <f t="shared" si="33"/>
        <v>-80.160399999999981</v>
      </c>
      <c r="I263">
        <f t="shared" si="34"/>
        <v>6425.6897281599968</v>
      </c>
    </row>
    <row r="264" spans="1:9" x14ac:dyDescent="0.3">
      <c r="A264">
        <v>208991</v>
      </c>
      <c r="B264">
        <v>922</v>
      </c>
      <c r="C264">
        <f t="shared" si="28"/>
        <v>43677238081</v>
      </c>
      <c r="D264">
        <f t="shared" si="29"/>
        <v>192689702</v>
      </c>
      <c r="E264">
        <f t="shared" si="30"/>
        <v>857.43231400000002</v>
      </c>
      <c r="F264">
        <f t="shared" si="31"/>
        <v>64.567685999999981</v>
      </c>
      <c r="G264">
        <f t="shared" si="32"/>
        <v>4168.9860753945932</v>
      </c>
      <c r="H264">
        <f t="shared" si="33"/>
        <v>35.839600000000019</v>
      </c>
      <c r="I264">
        <f t="shared" si="34"/>
        <v>1284.4769281600013</v>
      </c>
    </row>
    <row r="265" spans="1:9" x14ac:dyDescent="0.3">
      <c r="A265">
        <v>69834</v>
      </c>
      <c r="B265">
        <v>1077</v>
      </c>
      <c r="C265">
        <f t="shared" si="28"/>
        <v>4876787556</v>
      </c>
      <c r="D265">
        <f t="shared" si="29"/>
        <v>75211218</v>
      </c>
      <c r="E265">
        <f t="shared" si="30"/>
        <v>822.08643600000005</v>
      </c>
      <c r="F265">
        <f t="shared" si="31"/>
        <v>254.91356399999995</v>
      </c>
      <c r="G265">
        <f t="shared" si="32"/>
        <v>64980.92511118207</v>
      </c>
      <c r="H265">
        <f t="shared" si="33"/>
        <v>190.83960000000002</v>
      </c>
      <c r="I265">
        <f t="shared" si="34"/>
        <v>36419.752928160007</v>
      </c>
    </row>
    <row r="266" spans="1:9" x14ac:dyDescent="0.3">
      <c r="A266">
        <v>22707</v>
      </c>
      <c r="B266">
        <v>906</v>
      </c>
      <c r="C266">
        <f t="shared" si="28"/>
        <v>515607849</v>
      </c>
      <c r="D266">
        <f t="shared" si="29"/>
        <v>20572542</v>
      </c>
      <c r="E266">
        <f t="shared" si="30"/>
        <v>810.11617799999999</v>
      </c>
      <c r="F266">
        <f t="shared" si="31"/>
        <v>95.883822000000009</v>
      </c>
      <c r="G266">
        <f t="shared" si="32"/>
        <v>9193.7073213276853</v>
      </c>
      <c r="H266">
        <f t="shared" si="33"/>
        <v>19.839600000000019</v>
      </c>
      <c r="I266">
        <f t="shared" si="34"/>
        <v>393.60972816000071</v>
      </c>
    </row>
    <row r="267" spans="1:9" x14ac:dyDescent="0.3">
      <c r="A267">
        <v>237152</v>
      </c>
      <c r="B267">
        <v>989</v>
      </c>
      <c r="C267">
        <f t="shared" si="28"/>
        <v>56241071104</v>
      </c>
      <c r="D267">
        <f t="shared" si="29"/>
        <v>234543328</v>
      </c>
      <c r="E267">
        <f t="shared" si="30"/>
        <v>864.58520800000008</v>
      </c>
      <c r="F267">
        <f t="shared" si="31"/>
        <v>124.41479199999992</v>
      </c>
      <c r="G267">
        <f t="shared" si="32"/>
        <v>15479.040468403244</v>
      </c>
      <c r="H267">
        <f t="shared" si="33"/>
        <v>102.83960000000002</v>
      </c>
      <c r="I267">
        <f t="shared" si="34"/>
        <v>10575.983328160004</v>
      </c>
    </row>
    <row r="268" spans="1:9" x14ac:dyDescent="0.3">
      <c r="A268">
        <v>53219</v>
      </c>
      <c r="B268">
        <v>767</v>
      </c>
      <c r="C268">
        <f t="shared" si="28"/>
        <v>2832261961</v>
      </c>
      <c r="D268">
        <f t="shared" si="29"/>
        <v>40818973</v>
      </c>
      <c r="E268">
        <f t="shared" si="30"/>
        <v>817.86622599999998</v>
      </c>
      <c r="F268">
        <f t="shared" si="31"/>
        <v>-50.866225999999983</v>
      </c>
      <c r="G268">
        <f t="shared" si="32"/>
        <v>2587.3729474830743</v>
      </c>
      <c r="H268">
        <f t="shared" si="33"/>
        <v>-119.16039999999998</v>
      </c>
      <c r="I268">
        <f t="shared" si="34"/>
        <v>14199.200928159995</v>
      </c>
    </row>
    <row r="269" spans="1:9" x14ac:dyDescent="0.3">
      <c r="A269">
        <v>58685</v>
      </c>
      <c r="B269">
        <v>779</v>
      </c>
      <c r="C269">
        <f t="shared" si="28"/>
        <v>3443929225</v>
      </c>
      <c r="D269">
        <f t="shared" si="29"/>
        <v>45715615</v>
      </c>
      <c r="E269">
        <f t="shared" si="30"/>
        <v>819.25459000000001</v>
      </c>
      <c r="F269">
        <f t="shared" si="31"/>
        <v>-40.254590000000007</v>
      </c>
      <c r="G269">
        <f t="shared" si="32"/>
        <v>1620.4320160681007</v>
      </c>
      <c r="H269">
        <f t="shared" si="33"/>
        <v>-107.16039999999998</v>
      </c>
      <c r="I269">
        <f t="shared" si="34"/>
        <v>11483.351328159995</v>
      </c>
    </row>
    <row r="270" spans="1:9" x14ac:dyDescent="0.3">
      <c r="A270">
        <v>149372</v>
      </c>
      <c r="B270">
        <v>739</v>
      </c>
      <c r="C270">
        <f t="shared" si="28"/>
        <v>22311994384</v>
      </c>
      <c r="D270">
        <f t="shared" si="29"/>
        <v>110385908</v>
      </c>
      <c r="E270">
        <f t="shared" si="30"/>
        <v>842.28908799999999</v>
      </c>
      <c r="F270">
        <f t="shared" si="31"/>
        <v>-103.28908799999999</v>
      </c>
      <c r="G270">
        <f t="shared" si="32"/>
        <v>10668.635699871742</v>
      </c>
      <c r="H270">
        <f t="shared" si="33"/>
        <v>-147.16039999999998</v>
      </c>
      <c r="I270">
        <f t="shared" si="34"/>
        <v>21656.183328159994</v>
      </c>
    </row>
    <row r="271" spans="1:9" x14ac:dyDescent="0.3">
      <c r="A271">
        <v>97554</v>
      </c>
      <c r="B271">
        <v>687</v>
      </c>
      <c r="C271">
        <f t="shared" si="28"/>
        <v>9516782916</v>
      </c>
      <c r="D271">
        <f t="shared" si="29"/>
        <v>67019598</v>
      </c>
      <c r="E271">
        <f t="shared" si="30"/>
        <v>829.12731600000006</v>
      </c>
      <c r="F271">
        <f t="shared" si="31"/>
        <v>-142.12731600000006</v>
      </c>
      <c r="G271">
        <f t="shared" si="32"/>
        <v>20200.173953363876</v>
      </c>
      <c r="H271">
        <f t="shared" si="33"/>
        <v>-199.16039999999998</v>
      </c>
      <c r="I271">
        <f t="shared" si="34"/>
        <v>39664.864928159994</v>
      </c>
    </row>
    <row r="272" spans="1:9" x14ac:dyDescent="0.3">
      <c r="A272">
        <v>439030</v>
      </c>
      <c r="B272">
        <v>1338</v>
      </c>
      <c r="C272">
        <f t="shared" si="28"/>
        <v>192747340900</v>
      </c>
      <c r="D272">
        <f t="shared" si="29"/>
        <v>587422140</v>
      </c>
      <c r="E272">
        <f t="shared" si="30"/>
        <v>915.86221999999998</v>
      </c>
      <c r="F272">
        <f t="shared" si="31"/>
        <v>422.13778000000002</v>
      </c>
      <c r="G272">
        <f t="shared" si="32"/>
        <v>178200.30530332841</v>
      </c>
      <c r="H272">
        <f t="shared" si="33"/>
        <v>451.83960000000002</v>
      </c>
      <c r="I272">
        <f t="shared" si="34"/>
        <v>204159.02412816</v>
      </c>
    </row>
    <row r="273" spans="1:9" x14ac:dyDescent="0.3">
      <c r="A273">
        <v>14412</v>
      </c>
      <c r="B273">
        <v>476</v>
      </c>
      <c r="C273">
        <f t="shared" si="28"/>
        <v>207705744</v>
      </c>
      <c r="D273">
        <f t="shared" si="29"/>
        <v>6860112</v>
      </c>
      <c r="E273">
        <f t="shared" si="30"/>
        <v>808.00924800000007</v>
      </c>
      <c r="F273">
        <f t="shared" si="31"/>
        <v>-332.00924800000007</v>
      </c>
      <c r="G273">
        <f t="shared" si="32"/>
        <v>110230.14075752556</v>
      </c>
      <c r="H273">
        <f t="shared" si="33"/>
        <v>-410.16039999999998</v>
      </c>
      <c r="I273">
        <f t="shared" si="34"/>
        <v>168231.55372815998</v>
      </c>
    </row>
    <row r="274" spans="1:9" x14ac:dyDescent="0.3">
      <c r="A274">
        <v>27240</v>
      </c>
      <c r="B274">
        <v>490</v>
      </c>
      <c r="C274">
        <f t="shared" si="28"/>
        <v>742017600</v>
      </c>
      <c r="D274">
        <f t="shared" si="29"/>
        <v>13347600</v>
      </c>
      <c r="E274">
        <f t="shared" si="30"/>
        <v>811.26756</v>
      </c>
      <c r="F274">
        <f t="shared" si="31"/>
        <v>-321.26756</v>
      </c>
      <c r="G274">
        <f t="shared" si="32"/>
        <v>103212.84510835361</v>
      </c>
      <c r="H274">
        <f t="shared" si="33"/>
        <v>-396.16039999999998</v>
      </c>
      <c r="I274">
        <f t="shared" si="34"/>
        <v>156943.06252815999</v>
      </c>
    </row>
    <row r="275" spans="1:9" x14ac:dyDescent="0.3">
      <c r="A275">
        <v>190598</v>
      </c>
      <c r="B275">
        <v>651</v>
      </c>
      <c r="C275">
        <f t="shared" si="28"/>
        <v>36327597604</v>
      </c>
      <c r="D275">
        <f t="shared" si="29"/>
        <v>124079298</v>
      </c>
      <c r="E275">
        <f t="shared" si="30"/>
        <v>852.760492</v>
      </c>
      <c r="F275">
        <f t="shared" si="31"/>
        <v>-201.760492</v>
      </c>
      <c r="G275">
        <f t="shared" si="32"/>
        <v>40707.296132082061</v>
      </c>
      <c r="H275">
        <f t="shared" si="33"/>
        <v>-235.16039999999998</v>
      </c>
      <c r="I275">
        <f t="shared" si="34"/>
        <v>55300.413728159991</v>
      </c>
    </row>
    <row r="276" spans="1:9" x14ac:dyDescent="0.3">
      <c r="A276">
        <v>1303468</v>
      </c>
      <c r="B276">
        <v>1216</v>
      </c>
      <c r="C276">
        <f t="shared" si="28"/>
        <v>1699028827024</v>
      </c>
      <c r="D276">
        <f t="shared" si="29"/>
        <v>1585017088</v>
      </c>
      <c r="E276">
        <f t="shared" si="30"/>
        <v>1135.429472</v>
      </c>
      <c r="F276">
        <f t="shared" si="31"/>
        <v>80.570527999999968</v>
      </c>
      <c r="G276">
        <f t="shared" si="32"/>
        <v>6491.6099821987791</v>
      </c>
      <c r="H276">
        <f t="shared" si="33"/>
        <v>329.83960000000002</v>
      </c>
      <c r="I276">
        <f t="shared" si="34"/>
        <v>108794.16172816002</v>
      </c>
    </row>
    <row r="277" spans="1:9" x14ac:dyDescent="0.3">
      <c r="A277">
        <v>271704</v>
      </c>
      <c r="B277">
        <v>1413</v>
      </c>
      <c r="C277">
        <f t="shared" si="28"/>
        <v>73823063616</v>
      </c>
      <c r="D277">
        <f t="shared" si="29"/>
        <v>383917752</v>
      </c>
      <c r="E277">
        <f t="shared" si="30"/>
        <v>873.36141600000008</v>
      </c>
      <c r="F277">
        <f t="shared" si="31"/>
        <v>539.63858399999992</v>
      </c>
      <c r="G277">
        <f t="shared" si="32"/>
        <v>291209.80134152499</v>
      </c>
      <c r="H277">
        <f t="shared" si="33"/>
        <v>526.83960000000002</v>
      </c>
      <c r="I277">
        <f t="shared" si="34"/>
        <v>277559.96412816003</v>
      </c>
    </row>
    <row r="278" spans="1:9" x14ac:dyDescent="0.3">
      <c r="A278">
        <v>29534</v>
      </c>
      <c r="B278">
        <v>610</v>
      </c>
      <c r="C278">
        <f t="shared" si="28"/>
        <v>872257156</v>
      </c>
      <c r="D278">
        <f t="shared" si="29"/>
        <v>18015740</v>
      </c>
      <c r="E278">
        <f t="shared" si="30"/>
        <v>811.850236</v>
      </c>
      <c r="F278">
        <f t="shared" si="31"/>
        <v>-201.850236</v>
      </c>
      <c r="G278">
        <f t="shared" si="32"/>
        <v>40743.517773255691</v>
      </c>
      <c r="H278">
        <f t="shared" si="33"/>
        <v>-276.16039999999998</v>
      </c>
      <c r="I278">
        <f t="shared" si="34"/>
        <v>76264.566528159994</v>
      </c>
    </row>
    <row r="279" spans="1:9" x14ac:dyDescent="0.3">
      <c r="A279">
        <v>54469</v>
      </c>
      <c r="B279">
        <v>811</v>
      </c>
      <c r="C279">
        <f t="shared" si="28"/>
        <v>2966871961</v>
      </c>
      <c r="D279">
        <f t="shared" si="29"/>
        <v>44174359</v>
      </c>
      <c r="E279">
        <f t="shared" si="30"/>
        <v>818.18372599999998</v>
      </c>
      <c r="F279">
        <f t="shared" si="31"/>
        <v>-7.1837259999999787</v>
      </c>
      <c r="G279">
        <f t="shared" si="32"/>
        <v>51.605919243075697</v>
      </c>
      <c r="H279">
        <f t="shared" si="33"/>
        <v>-75.160399999999981</v>
      </c>
      <c r="I279">
        <f t="shared" si="34"/>
        <v>5649.0857281599974</v>
      </c>
    </row>
    <row r="280" spans="1:9" x14ac:dyDescent="0.3">
      <c r="A280">
        <v>156805</v>
      </c>
      <c r="B280">
        <v>701</v>
      </c>
      <c r="C280">
        <f t="shared" si="28"/>
        <v>24587808025</v>
      </c>
      <c r="D280">
        <f t="shared" si="29"/>
        <v>109920305</v>
      </c>
      <c r="E280">
        <f t="shared" si="30"/>
        <v>844.17707000000007</v>
      </c>
      <c r="F280">
        <f t="shared" si="31"/>
        <v>-143.17707000000007</v>
      </c>
      <c r="G280">
        <f t="shared" si="32"/>
        <v>20499.673373784921</v>
      </c>
      <c r="H280">
        <f t="shared" si="33"/>
        <v>-185.16039999999998</v>
      </c>
      <c r="I280">
        <f t="shared" si="34"/>
        <v>34284.37372815999</v>
      </c>
    </row>
    <row r="281" spans="1:9" x14ac:dyDescent="0.3">
      <c r="A281">
        <v>65278</v>
      </c>
      <c r="B281">
        <v>352</v>
      </c>
      <c r="C281">
        <f t="shared" si="28"/>
        <v>4261217284</v>
      </c>
      <c r="D281">
        <f t="shared" si="29"/>
        <v>22977856</v>
      </c>
      <c r="E281">
        <f t="shared" si="30"/>
        <v>820.92921200000001</v>
      </c>
      <c r="F281">
        <f t="shared" si="31"/>
        <v>-468.92921200000001</v>
      </c>
      <c r="G281">
        <f t="shared" si="32"/>
        <v>219894.60586694095</v>
      </c>
      <c r="H281">
        <f t="shared" si="33"/>
        <v>-534.16039999999998</v>
      </c>
      <c r="I281">
        <f t="shared" si="34"/>
        <v>285327.33292815997</v>
      </c>
    </row>
    <row r="282" spans="1:9" x14ac:dyDescent="0.3">
      <c r="A282">
        <v>775159</v>
      </c>
      <c r="B282">
        <v>527</v>
      </c>
      <c r="C282">
        <f t="shared" si="28"/>
        <v>600871475281</v>
      </c>
      <c r="D282">
        <f t="shared" si="29"/>
        <v>408508793</v>
      </c>
      <c r="E282">
        <f t="shared" si="30"/>
        <v>1001.2389860000001</v>
      </c>
      <c r="F282">
        <f t="shared" si="31"/>
        <v>-474.23898600000007</v>
      </c>
      <c r="G282">
        <f t="shared" si="32"/>
        <v>224902.61584230827</v>
      </c>
      <c r="H282">
        <f t="shared" si="33"/>
        <v>-359.16039999999998</v>
      </c>
      <c r="I282">
        <f t="shared" si="34"/>
        <v>128996.19292815999</v>
      </c>
    </row>
    <row r="283" spans="1:9" x14ac:dyDescent="0.3">
      <c r="A283">
        <v>108457</v>
      </c>
      <c r="B283">
        <v>955</v>
      </c>
      <c r="C283">
        <f t="shared" si="28"/>
        <v>11762920849</v>
      </c>
      <c r="D283">
        <f t="shared" si="29"/>
        <v>103576435</v>
      </c>
      <c r="E283">
        <f t="shared" si="30"/>
        <v>831.89667800000007</v>
      </c>
      <c r="F283">
        <f t="shared" si="31"/>
        <v>123.10332199999993</v>
      </c>
      <c r="G283">
        <f t="shared" si="32"/>
        <v>15154.427887435668</v>
      </c>
      <c r="H283">
        <f t="shared" si="33"/>
        <v>68.839600000000019</v>
      </c>
      <c r="I283">
        <f t="shared" si="34"/>
        <v>4738.8905281600028</v>
      </c>
    </row>
    <row r="284" spans="1:9" x14ac:dyDescent="0.3">
      <c r="A284">
        <v>214703</v>
      </c>
      <c r="B284">
        <v>947</v>
      </c>
      <c r="C284">
        <f t="shared" si="28"/>
        <v>46097378209</v>
      </c>
      <c r="D284">
        <f t="shared" si="29"/>
        <v>203323741</v>
      </c>
      <c r="E284">
        <f t="shared" si="30"/>
        <v>858.88316200000008</v>
      </c>
      <c r="F284">
        <f t="shared" si="31"/>
        <v>88.116837999999916</v>
      </c>
      <c r="G284">
        <f t="shared" si="32"/>
        <v>7764.5771391182288</v>
      </c>
      <c r="H284">
        <f t="shared" si="33"/>
        <v>60.839600000000019</v>
      </c>
      <c r="I284">
        <f t="shared" si="34"/>
        <v>3701.4569281600025</v>
      </c>
    </row>
    <row r="285" spans="1:9" x14ac:dyDescent="0.3">
      <c r="A285">
        <v>67935</v>
      </c>
      <c r="B285">
        <v>624</v>
      </c>
      <c r="C285">
        <f t="shared" si="28"/>
        <v>4615164225</v>
      </c>
      <c r="D285">
        <f t="shared" si="29"/>
        <v>42391440</v>
      </c>
      <c r="E285">
        <f t="shared" si="30"/>
        <v>821.60409000000004</v>
      </c>
      <c r="F285">
        <f t="shared" si="31"/>
        <v>-197.60409000000004</v>
      </c>
      <c r="G285">
        <f t="shared" si="32"/>
        <v>39047.376384728115</v>
      </c>
      <c r="H285">
        <f t="shared" si="33"/>
        <v>-262.16039999999998</v>
      </c>
      <c r="I285">
        <f t="shared" si="34"/>
        <v>68728.07532815999</v>
      </c>
    </row>
    <row r="286" spans="1:9" x14ac:dyDescent="0.3">
      <c r="A286">
        <v>12502</v>
      </c>
      <c r="B286">
        <v>628</v>
      </c>
      <c r="C286">
        <f t="shared" si="28"/>
        <v>156300004</v>
      </c>
      <c r="D286">
        <f t="shared" si="29"/>
        <v>7851256</v>
      </c>
      <c r="E286">
        <f t="shared" si="30"/>
        <v>807.52410800000007</v>
      </c>
      <c r="F286">
        <f t="shared" si="31"/>
        <v>-179.52410800000007</v>
      </c>
      <c r="G286">
        <f t="shared" si="32"/>
        <v>32228.905353195689</v>
      </c>
      <c r="H286">
        <f t="shared" si="33"/>
        <v>-258.16039999999998</v>
      </c>
      <c r="I286">
        <f t="shared" si="34"/>
        <v>66646.792128159985</v>
      </c>
    </row>
    <row r="287" spans="1:9" x14ac:dyDescent="0.3">
      <c r="A287">
        <v>27001</v>
      </c>
      <c r="B287">
        <v>1001</v>
      </c>
      <c r="C287">
        <f t="shared" si="28"/>
        <v>729054001</v>
      </c>
      <c r="D287">
        <f t="shared" si="29"/>
        <v>27028001</v>
      </c>
      <c r="E287">
        <f t="shared" si="30"/>
        <v>811.20685400000002</v>
      </c>
      <c r="F287">
        <f t="shared" si="31"/>
        <v>189.79314599999998</v>
      </c>
      <c r="G287">
        <f t="shared" si="32"/>
        <v>36021.438268577309</v>
      </c>
      <c r="H287">
        <f t="shared" si="33"/>
        <v>114.83960000000002</v>
      </c>
      <c r="I287">
        <f t="shared" si="34"/>
        <v>13188.133728160004</v>
      </c>
    </row>
    <row r="288" spans="1:9" x14ac:dyDescent="0.3">
      <c r="A288">
        <v>6949</v>
      </c>
      <c r="B288">
        <v>642</v>
      </c>
      <c r="C288">
        <f t="shared" si="28"/>
        <v>48288601</v>
      </c>
      <c r="D288">
        <f t="shared" si="29"/>
        <v>4461258</v>
      </c>
      <c r="E288">
        <f t="shared" si="30"/>
        <v>806.11364600000002</v>
      </c>
      <c r="F288">
        <f t="shared" si="31"/>
        <v>-164.11364600000002</v>
      </c>
      <c r="G288">
        <f t="shared" si="32"/>
        <v>26933.288803413321</v>
      </c>
      <c r="H288">
        <f t="shared" si="33"/>
        <v>-244.16039999999998</v>
      </c>
      <c r="I288">
        <f t="shared" si="34"/>
        <v>59614.300928159988</v>
      </c>
    </row>
    <row r="289" spans="1:9" x14ac:dyDescent="0.3">
      <c r="A289">
        <v>174859</v>
      </c>
      <c r="B289">
        <v>851</v>
      </c>
      <c r="C289">
        <f t="shared" si="28"/>
        <v>30575669881</v>
      </c>
      <c r="D289">
        <f t="shared" si="29"/>
        <v>148805009</v>
      </c>
      <c r="E289">
        <f t="shared" si="30"/>
        <v>848.76278600000001</v>
      </c>
      <c r="F289">
        <f t="shared" si="31"/>
        <v>2.2372139999999945</v>
      </c>
      <c r="G289">
        <f t="shared" si="32"/>
        <v>5.0051264817959753</v>
      </c>
      <c r="H289">
        <f t="shared" si="33"/>
        <v>-35.160399999999981</v>
      </c>
      <c r="I289">
        <f t="shared" si="34"/>
        <v>1236.2537281599987</v>
      </c>
    </row>
    <row r="290" spans="1:9" x14ac:dyDescent="0.3">
      <c r="A290">
        <v>374017</v>
      </c>
      <c r="B290">
        <v>1152</v>
      </c>
      <c r="C290">
        <f t="shared" si="28"/>
        <v>139888716289</v>
      </c>
      <c r="D290">
        <f t="shared" si="29"/>
        <v>430867584</v>
      </c>
      <c r="E290">
        <f t="shared" si="30"/>
        <v>899.34891800000003</v>
      </c>
      <c r="F290">
        <f t="shared" si="31"/>
        <v>252.65108199999997</v>
      </c>
      <c r="G290">
        <f t="shared" si="32"/>
        <v>63832.569235770708</v>
      </c>
      <c r="H290">
        <f t="shared" si="33"/>
        <v>265.83960000000002</v>
      </c>
      <c r="I290">
        <f t="shared" si="34"/>
        <v>70670.692928160017</v>
      </c>
    </row>
    <row r="291" spans="1:9" x14ac:dyDescent="0.3">
      <c r="A291">
        <v>6293</v>
      </c>
      <c r="B291">
        <v>451</v>
      </c>
      <c r="C291">
        <f t="shared" si="28"/>
        <v>39601849</v>
      </c>
      <c r="D291">
        <f t="shared" si="29"/>
        <v>2838143</v>
      </c>
      <c r="E291">
        <f t="shared" si="30"/>
        <v>805.94702200000006</v>
      </c>
      <c r="F291">
        <f t="shared" si="31"/>
        <v>-354.94702200000006</v>
      </c>
      <c r="G291">
        <f t="shared" si="32"/>
        <v>125987.38842666852</v>
      </c>
      <c r="H291">
        <f t="shared" si="33"/>
        <v>-435.16039999999998</v>
      </c>
      <c r="I291">
        <f t="shared" si="34"/>
        <v>189364.57372815997</v>
      </c>
    </row>
    <row r="292" spans="1:9" x14ac:dyDescent="0.3">
      <c r="A292">
        <v>71816</v>
      </c>
      <c r="B292">
        <v>892</v>
      </c>
      <c r="C292">
        <f t="shared" si="28"/>
        <v>5157537856</v>
      </c>
      <c r="D292">
        <f t="shared" si="29"/>
        <v>64059872</v>
      </c>
      <c r="E292">
        <f t="shared" si="30"/>
        <v>822.58986400000003</v>
      </c>
      <c r="F292">
        <f t="shared" si="31"/>
        <v>69.410135999999966</v>
      </c>
      <c r="G292">
        <f t="shared" si="32"/>
        <v>4817.7669795384909</v>
      </c>
      <c r="H292">
        <f t="shared" si="33"/>
        <v>5.8396000000000186</v>
      </c>
      <c r="I292">
        <f t="shared" si="34"/>
        <v>34.100928160000215</v>
      </c>
    </row>
    <row r="293" spans="1:9" x14ac:dyDescent="0.3">
      <c r="A293">
        <v>26915</v>
      </c>
      <c r="B293">
        <v>738</v>
      </c>
      <c r="C293">
        <f t="shared" si="28"/>
        <v>724417225</v>
      </c>
      <c r="D293">
        <f t="shared" si="29"/>
        <v>19863270</v>
      </c>
      <c r="E293">
        <f t="shared" si="30"/>
        <v>811.18501000000003</v>
      </c>
      <c r="F293">
        <f t="shared" si="31"/>
        <v>-73.185010000000034</v>
      </c>
      <c r="G293">
        <f t="shared" si="32"/>
        <v>5356.0456887001046</v>
      </c>
      <c r="H293">
        <f t="shared" si="33"/>
        <v>-148.16039999999998</v>
      </c>
      <c r="I293">
        <f t="shared" si="34"/>
        <v>21951.504128159995</v>
      </c>
    </row>
    <row r="294" spans="1:9" x14ac:dyDescent="0.3">
      <c r="A294">
        <v>1573970</v>
      </c>
      <c r="B294">
        <v>1039</v>
      </c>
      <c r="C294">
        <f t="shared" si="28"/>
        <v>2477381560900</v>
      </c>
      <c r="D294">
        <f t="shared" si="29"/>
        <v>1635354830</v>
      </c>
      <c r="E294">
        <f t="shared" si="30"/>
        <v>1204.13698</v>
      </c>
      <c r="F294">
        <f t="shared" si="31"/>
        <v>-165.13697999999999</v>
      </c>
      <c r="G294">
        <f t="shared" si="32"/>
        <v>27270.222163520397</v>
      </c>
      <c r="H294">
        <f t="shared" si="33"/>
        <v>152.83960000000002</v>
      </c>
      <c r="I294">
        <f t="shared" si="34"/>
        <v>23359.943328160007</v>
      </c>
    </row>
    <row r="295" spans="1:9" x14ac:dyDescent="0.3">
      <c r="A295">
        <v>343430</v>
      </c>
      <c r="B295">
        <v>1105</v>
      </c>
      <c r="C295">
        <f t="shared" si="28"/>
        <v>117944164900</v>
      </c>
      <c r="D295">
        <f t="shared" si="29"/>
        <v>379490150</v>
      </c>
      <c r="E295">
        <f t="shared" si="30"/>
        <v>891.57982000000004</v>
      </c>
      <c r="F295">
        <f t="shared" si="31"/>
        <v>213.42017999999996</v>
      </c>
      <c r="G295">
        <f t="shared" si="32"/>
        <v>45548.17323123238</v>
      </c>
      <c r="H295">
        <f t="shared" si="33"/>
        <v>218.83960000000002</v>
      </c>
      <c r="I295">
        <f t="shared" si="34"/>
        <v>47890.770528160007</v>
      </c>
    </row>
    <row r="296" spans="1:9" x14ac:dyDescent="0.3">
      <c r="A296">
        <v>241079</v>
      </c>
      <c r="B296">
        <v>1286</v>
      </c>
      <c r="C296">
        <f t="shared" si="28"/>
        <v>58119084241</v>
      </c>
      <c r="D296">
        <f t="shared" si="29"/>
        <v>310027594</v>
      </c>
      <c r="E296">
        <f t="shared" si="30"/>
        <v>865.58266600000002</v>
      </c>
      <c r="F296">
        <f t="shared" si="31"/>
        <v>420.41733399999998</v>
      </c>
      <c r="G296">
        <f t="shared" si="32"/>
        <v>176750.73472766753</v>
      </c>
      <c r="H296">
        <f t="shared" si="33"/>
        <v>399.83960000000002</v>
      </c>
      <c r="I296">
        <f t="shared" si="34"/>
        <v>159871.70572816001</v>
      </c>
    </row>
    <row r="297" spans="1:9" x14ac:dyDescent="0.3">
      <c r="A297">
        <v>156631</v>
      </c>
      <c r="B297">
        <v>854</v>
      </c>
      <c r="C297">
        <f t="shared" si="28"/>
        <v>24533270161</v>
      </c>
      <c r="D297">
        <f t="shared" si="29"/>
        <v>133762874</v>
      </c>
      <c r="E297">
        <f t="shared" si="30"/>
        <v>844.13287400000002</v>
      </c>
      <c r="F297">
        <f t="shared" si="31"/>
        <v>9.8671259999999847</v>
      </c>
      <c r="G297">
        <f t="shared" si="32"/>
        <v>97.360175499875695</v>
      </c>
      <c r="H297">
        <f t="shared" si="33"/>
        <v>-32.160399999999981</v>
      </c>
      <c r="I297">
        <f t="shared" si="34"/>
        <v>1034.2913281599988</v>
      </c>
    </row>
    <row r="298" spans="1:9" x14ac:dyDescent="0.3">
      <c r="A298">
        <v>765393</v>
      </c>
      <c r="B298">
        <v>1017</v>
      </c>
      <c r="C298">
        <f t="shared" si="28"/>
        <v>585826444449</v>
      </c>
      <c r="D298">
        <f t="shared" si="29"/>
        <v>778404681</v>
      </c>
      <c r="E298">
        <f t="shared" si="30"/>
        <v>998.758422</v>
      </c>
      <c r="F298">
        <f t="shared" si="31"/>
        <v>18.241578000000004</v>
      </c>
      <c r="G298">
        <f t="shared" si="32"/>
        <v>332.75516793008416</v>
      </c>
      <c r="H298">
        <f t="shared" si="33"/>
        <v>130.83960000000002</v>
      </c>
      <c r="I298">
        <f t="shared" si="34"/>
        <v>17119.000928160003</v>
      </c>
    </row>
    <row r="299" spans="1:9" x14ac:dyDescent="0.3">
      <c r="A299">
        <v>15180</v>
      </c>
      <c r="B299">
        <v>558</v>
      </c>
      <c r="C299">
        <f t="shared" si="28"/>
        <v>230432400</v>
      </c>
      <c r="D299">
        <f t="shared" si="29"/>
        <v>8470440</v>
      </c>
      <c r="E299">
        <f t="shared" si="30"/>
        <v>808.20432000000005</v>
      </c>
      <c r="F299">
        <f t="shared" si="31"/>
        <v>-250.20432000000005</v>
      </c>
      <c r="G299">
        <f t="shared" si="32"/>
        <v>62602.201746662424</v>
      </c>
      <c r="H299">
        <f t="shared" si="33"/>
        <v>-328.16039999999998</v>
      </c>
      <c r="I299">
        <f t="shared" si="34"/>
        <v>107689.24812815999</v>
      </c>
    </row>
    <row r="300" spans="1:9" x14ac:dyDescent="0.3">
      <c r="A300">
        <v>2242932</v>
      </c>
      <c r="B300">
        <v>1460</v>
      </c>
      <c r="C300">
        <f t="shared" si="28"/>
        <v>5030743956624</v>
      </c>
      <c r="D300">
        <f t="shared" si="29"/>
        <v>3274680720</v>
      </c>
      <c r="E300">
        <f t="shared" si="30"/>
        <v>1374.053328</v>
      </c>
      <c r="F300">
        <f t="shared" si="31"/>
        <v>85.946672000000035</v>
      </c>
      <c r="G300">
        <f t="shared" si="32"/>
        <v>7386.8304278755904</v>
      </c>
      <c r="H300">
        <f t="shared" si="33"/>
        <v>573.83960000000002</v>
      </c>
      <c r="I300">
        <f t="shared" si="34"/>
        <v>329291.88652816002</v>
      </c>
    </row>
    <row r="301" spans="1:9" x14ac:dyDescent="0.3">
      <c r="A301">
        <v>12398</v>
      </c>
      <c r="B301">
        <v>832</v>
      </c>
      <c r="C301">
        <f t="shared" si="28"/>
        <v>153710404</v>
      </c>
      <c r="D301">
        <f t="shared" si="29"/>
        <v>10315136</v>
      </c>
      <c r="E301">
        <f t="shared" si="30"/>
        <v>807.49769200000003</v>
      </c>
      <c r="F301">
        <f t="shared" si="31"/>
        <v>24.502307999999971</v>
      </c>
      <c r="G301">
        <f t="shared" si="32"/>
        <v>600.36309732686254</v>
      </c>
      <c r="H301">
        <f t="shared" si="33"/>
        <v>-54.160399999999981</v>
      </c>
      <c r="I301">
        <f t="shared" si="34"/>
        <v>2933.3489281599982</v>
      </c>
    </row>
    <row r="302" spans="1:9" x14ac:dyDescent="0.3">
      <c r="A302">
        <v>14045</v>
      </c>
      <c r="B302">
        <v>1055</v>
      </c>
      <c r="C302">
        <f t="shared" si="28"/>
        <v>197262025</v>
      </c>
      <c r="D302">
        <f t="shared" si="29"/>
        <v>14817475</v>
      </c>
      <c r="E302">
        <f t="shared" si="30"/>
        <v>807.91602999999998</v>
      </c>
      <c r="F302">
        <f t="shared" si="31"/>
        <v>247.08397000000002</v>
      </c>
      <c r="G302">
        <f t="shared" si="32"/>
        <v>61050.488230960909</v>
      </c>
      <c r="H302">
        <f t="shared" si="33"/>
        <v>168.83960000000002</v>
      </c>
      <c r="I302">
        <f t="shared" si="34"/>
        <v>28506.810528160007</v>
      </c>
    </row>
    <row r="303" spans="1:9" x14ac:dyDescent="0.3">
      <c r="A303">
        <v>17311</v>
      </c>
      <c r="B303">
        <v>269</v>
      </c>
      <c r="C303">
        <f t="shared" si="28"/>
        <v>299670721</v>
      </c>
      <c r="D303">
        <f t="shared" si="29"/>
        <v>4656659</v>
      </c>
      <c r="E303">
        <f t="shared" si="30"/>
        <v>808.74559399999998</v>
      </c>
      <c r="F303">
        <f t="shared" si="31"/>
        <v>-539.74559399999998</v>
      </c>
      <c r="G303">
        <f t="shared" si="32"/>
        <v>291325.30624241283</v>
      </c>
      <c r="H303">
        <f t="shared" si="33"/>
        <v>-617.16039999999998</v>
      </c>
      <c r="I303">
        <f t="shared" si="34"/>
        <v>380886.95932815998</v>
      </c>
    </row>
    <row r="304" spans="1:9" x14ac:dyDescent="0.3">
      <c r="A304">
        <v>67377</v>
      </c>
      <c r="B304">
        <v>1261</v>
      </c>
      <c r="C304">
        <f t="shared" si="28"/>
        <v>4539660129</v>
      </c>
      <c r="D304">
        <f t="shared" si="29"/>
        <v>84962397</v>
      </c>
      <c r="E304">
        <f t="shared" si="30"/>
        <v>821.46235799999999</v>
      </c>
      <c r="F304">
        <f t="shared" si="31"/>
        <v>439.53764200000001</v>
      </c>
      <c r="G304">
        <f t="shared" si="32"/>
        <v>193193.33873492017</v>
      </c>
      <c r="H304">
        <f t="shared" si="33"/>
        <v>374.83960000000002</v>
      </c>
      <c r="I304">
        <f t="shared" si="34"/>
        <v>140504.72572816</v>
      </c>
    </row>
    <row r="305" spans="1:9" x14ac:dyDescent="0.3">
      <c r="A305">
        <v>77011</v>
      </c>
      <c r="B305">
        <v>725</v>
      </c>
      <c r="C305">
        <f t="shared" si="28"/>
        <v>5930694121</v>
      </c>
      <c r="D305">
        <f t="shared" si="29"/>
        <v>55832975</v>
      </c>
      <c r="E305">
        <f t="shared" si="30"/>
        <v>823.90939400000002</v>
      </c>
      <c r="F305">
        <f t="shared" si="31"/>
        <v>-98.90939400000002</v>
      </c>
      <c r="G305">
        <f t="shared" si="32"/>
        <v>9783.0682214472399</v>
      </c>
      <c r="H305">
        <f t="shared" si="33"/>
        <v>-161.16039999999998</v>
      </c>
      <c r="I305">
        <f t="shared" si="34"/>
        <v>25972.674528159994</v>
      </c>
    </row>
    <row r="306" spans="1:9" x14ac:dyDescent="0.3">
      <c r="A306">
        <v>15319</v>
      </c>
      <c r="B306">
        <v>390</v>
      </c>
      <c r="C306">
        <f t="shared" si="28"/>
        <v>234671761</v>
      </c>
      <c r="D306">
        <f t="shared" si="29"/>
        <v>5974410</v>
      </c>
      <c r="E306">
        <f t="shared" si="30"/>
        <v>808.23962600000004</v>
      </c>
      <c r="F306">
        <f t="shared" si="31"/>
        <v>-418.23962600000004</v>
      </c>
      <c r="G306">
        <f t="shared" si="32"/>
        <v>174924.38475661993</v>
      </c>
      <c r="H306">
        <f t="shared" si="33"/>
        <v>-496.16039999999998</v>
      </c>
      <c r="I306">
        <f t="shared" si="34"/>
        <v>246175.14252815998</v>
      </c>
    </row>
    <row r="307" spans="1:9" x14ac:dyDescent="0.3">
      <c r="A307">
        <v>198388</v>
      </c>
      <c r="B307">
        <v>667</v>
      </c>
      <c r="C307">
        <f t="shared" si="28"/>
        <v>39357798544</v>
      </c>
      <c r="D307">
        <f t="shared" si="29"/>
        <v>132324796</v>
      </c>
      <c r="E307">
        <f t="shared" si="30"/>
        <v>854.73915199999999</v>
      </c>
      <c r="F307">
        <f t="shared" si="31"/>
        <v>-187.73915199999999</v>
      </c>
      <c r="G307">
        <f t="shared" si="32"/>
        <v>35245.989193679103</v>
      </c>
      <c r="H307">
        <f t="shared" si="33"/>
        <v>-219.16039999999998</v>
      </c>
      <c r="I307">
        <f t="shared" si="34"/>
        <v>48031.280928159991</v>
      </c>
    </row>
    <row r="308" spans="1:9" x14ac:dyDescent="0.3">
      <c r="A308">
        <v>81023</v>
      </c>
      <c r="B308">
        <v>624</v>
      </c>
      <c r="C308">
        <f t="shared" si="28"/>
        <v>6564726529</v>
      </c>
      <c r="D308">
        <f t="shared" si="29"/>
        <v>50558352</v>
      </c>
      <c r="E308">
        <f t="shared" si="30"/>
        <v>824.92844200000002</v>
      </c>
      <c r="F308">
        <f t="shared" si="31"/>
        <v>-200.92844200000002</v>
      </c>
      <c r="G308">
        <f t="shared" si="32"/>
        <v>40372.238804547371</v>
      </c>
      <c r="H308">
        <f t="shared" si="33"/>
        <v>-262.16039999999998</v>
      </c>
      <c r="I308">
        <f t="shared" si="34"/>
        <v>68728.07532815999</v>
      </c>
    </row>
    <row r="309" spans="1:9" x14ac:dyDescent="0.3">
      <c r="A309">
        <v>607692</v>
      </c>
      <c r="B309">
        <v>987</v>
      </c>
      <c r="C309">
        <f t="shared" si="28"/>
        <v>369289566864</v>
      </c>
      <c r="D309">
        <f t="shared" si="29"/>
        <v>599792004</v>
      </c>
      <c r="E309">
        <f t="shared" si="30"/>
        <v>958.70236799999998</v>
      </c>
      <c r="F309">
        <f t="shared" si="31"/>
        <v>28.297632000000021</v>
      </c>
      <c r="G309">
        <f t="shared" si="32"/>
        <v>800.75597680742521</v>
      </c>
      <c r="H309">
        <f t="shared" si="33"/>
        <v>100.83960000000002</v>
      </c>
      <c r="I309">
        <f t="shared" si="34"/>
        <v>10168.624928160003</v>
      </c>
    </row>
    <row r="310" spans="1:9" x14ac:dyDescent="0.3">
      <c r="A310">
        <v>1213</v>
      </c>
      <c r="B310">
        <v>664</v>
      </c>
      <c r="C310">
        <f t="shared" si="28"/>
        <v>1471369</v>
      </c>
      <c r="D310">
        <f t="shared" si="29"/>
        <v>805432</v>
      </c>
      <c r="E310">
        <f t="shared" si="30"/>
        <v>804.656702</v>
      </c>
      <c r="F310">
        <f t="shared" si="31"/>
        <v>-140.656702</v>
      </c>
      <c r="G310">
        <f t="shared" si="32"/>
        <v>19784.307817516801</v>
      </c>
      <c r="H310">
        <f t="shared" si="33"/>
        <v>-222.16039999999998</v>
      </c>
      <c r="I310">
        <f t="shared" si="34"/>
        <v>49355.243328159995</v>
      </c>
    </row>
    <row r="311" spans="1:9" x14ac:dyDescent="0.3">
      <c r="A311">
        <v>11315</v>
      </c>
      <c r="B311">
        <v>535</v>
      </c>
      <c r="C311">
        <f t="shared" si="28"/>
        <v>128029225</v>
      </c>
      <c r="D311">
        <f t="shared" si="29"/>
        <v>6053525</v>
      </c>
      <c r="E311">
        <f t="shared" si="30"/>
        <v>807.22261000000003</v>
      </c>
      <c r="F311">
        <f t="shared" si="31"/>
        <v>-272.22261000000003</v>
      </c>
      <c r="G311">
        <f t="shared" si="32"/>
        <v>74105.149395212124</v>
      </c>
      <c r="H311">
        <f t="shared" si="33"/>
        <v>-351.16039999999998</v>
      </c>
      <c r="I311">
        <f t="shared" si="34"/>
        <v>123313.62652815999</v>
      </c>
    </row>
    <row r="312" spans="1:9" x14ac:dyDescent="0.3">
      <c r="A312">
        <v>17498</v>
      </c>
      <c r="B312">
        <v>481</v>
      </c>
      <c r="C312">
        <f t="shared" si="28"/>
        <v>306180004</v>
      </c>
      <c r="D312">
        <f t="shared" si="29"/>
        <v>8416538</v>
      </c>
      <c r="E312">
        <f t="shared" si="30"/>
        <v>808.793092</v>
      </c>
      <c r="F312">
        <f t="shared" si="31"/>
        <v>-327.793092</v>
      </c>
      <c r="G312">
        <f t="shared" si="32"/>
        <v>107448.31116292046</v>
      </c>
      <c r="H312">
        <f t="shared" si="33"/>
        <v>-405.16039999999998</v>
      </c>
      <c r="I312">
        <f t="shared" si="34"/>
        <v>164154.94972815999</v>
      </c>
    </row>
    <row r="313" spans="1:9" x14ac:dyDescent="0.3">
      <c r="A313">
        <v>6392</v>
      </c>
      <c r="B313">
        <v>856</v>
      </c>
      <c r="C313">
        <f t="shared" si="28"/>
        <v>40857664</v>
      </c>
      <c r="D313">
        <f t="shared" si="29"/>
        <v>5471552</v>
      </c>
      <c r="E313">
        <f t="shared" si="30"/>
        <v>805.97216800000001</v>
      </c>
      <c r="F313">
        <f t="shared" si="31"/>
        <v>50.027831999999989</v>
      </c>
      <c r="G313">
        <f t="shared" si="32"/>
        <v>2502.783974620223</v>
      </c>
      <c r="H313">
        <f t="shared" si="33"/>
        <v>-30.160399999999981</v>
      </c>
      <c r="I313">
        <f t="shared" si="34"/>
        <v>909.64972815999886</v>
      </c>
    </row>
    <row r="314" spans="1:9" x14ac:dyDescent="0.3">
      <c r="A314">
        <v>87269</v>
      </c>
      <c r="B314">
        <v>835</v>
      </c>
      <c r="C314">
        <f t="shared" si="28"/>
        <v>7615878361</v>
      </c>
      <c r="D314">
        <f t="shared" si="29"/>
        <v>72869615</v>
      </c>
      <c r="E314">
        <f t="shared" si="30"/>
        <v>826.51492600000006</v>
      </c>
      <c r="F314">
        <f t="shared" si="31"/>
        <v>8.4850739999999405</v>
      </c>
      <c r="G314">
        <f t="shared" si="32"/>
        <v>71.996480785474986</v>
      </c>
      <c r="H314">
        <f t="shared" si="33"/>
        <v>-51.160399999999981</v>
      </c>
      <c r="I314">
        <f t="shared" si="34"/>
        <v>2617.3865281599983</v>
      </c>
    </row>
    <row r="315" spans="1:9" x14ac:dyDescent="0.3">
      <c r="A315">
        <v>20497</v>
      </c>
      <c r="B315">
        <v>977</v>
      </c>
      <c r="C315">
        <f t="shared" si="28"/>
        <v>420127009</v>
      </c>
      <c r="D315">
        <f t="shared" si="29"/>
        <v>20025569</v>
      </c>
      <c r="E315">
        <f t="shared" si="30"/>
        <v>809.55483800000002</v>
      </c>
      <c r="F315">
        <f t="shared" si="31"/>
        <v>167.44516199999998</v>
      </c>
      <c r="G315">
        <f t="shared" si="32"/>
        <v>28037.882277206238</v>
      </c>
      <c r="H315">
        <f t="shared" si="33"/>
        <v>90.839600000000019</v>
      </c>
      <c r="I315">
        <f t="shared" si="34"/>
        <v>8251.8329281600036</v>
      </c>
    </row>
    <row r="316" spans="1:9" x14ac:dyDescent="0.3">
      <c r="A316">
        <v>18788</v>
      </c>
      <c r="B316">
        <v>716</v>
      </c>
      <c r="C316">
        <f t="shared" si="28"/>
        <v>352988944</v>
      </c>
      <c r="D316">
        <f t="shared" si="29"/>
        <v>13452208</v>
      </c>
      <c r="E316">
        <f t="shared" si="30"/>
        <v>809.12075200000004</v>
      </c>
      <c r="F316">
        <f t="shared" si="31"/>
        <v>-93.120752000000039</v>
      </c>
      <c r="G316">
        <f t="shared" si="32"/>
        <v>8671.4744530455118</v>
      </c>
      <c r="H316">
        <f t="shared" si="33"/>
        <v>-170.16039999999998</v>
      </c>
      <c r="I316">
        <f t="shared" si="34"/>
        <v>28954.561728159995</v>
      </c>
    </row>
    <row r="317" spans="1:9" x14ac:dyDescent="0.3">
      <c r="A317">
        <v>314941</v>
      </c>
      <c r="B317">
        <v>1383</v>
      </c>
      <c r="C317">
        <f t="shared" si="28"/>
        <v>99187833481</v>
      </c>
      <c r="D317">
        <f t="shared" si="29"/>
        <v>435563403</v>
      </c>
      <c r="E317">
        <f t="shared" si="30"/>
        <v>884.343614</v>
      </c>
      <c r="F317">
        <f t="shared" si="31"/>
        <v>498.656386</v>
      </c>
      <c r="G317">
        <f t="shared" si="32"/>
        <v>248658.19129858099</v>
      </c>
      <c r="H317">
        <f t="shared" si="33"/>
        <v>496.83960000000002</v>
      </c>
      <c r="I317">
        <f t="shared" si="34"/>
        <v>246849.58812816002</v>
      </c>
    </row>
    <row r="318" spans="1:9" x14ac:dyDescent="0.3">
      <c r="A318">
        <v>16148</v>
      </c>
      <c r="B318">
        <v>972</v>
      </c>
      <c r="C318">
        <f t="shared" si="28"/>
        <v>260757904</v>
      </c>
      <c r="D318">
        <f t="shared" si="29"/>
        <v>15695856</v>
      </c>
      <c r="E318">
        <f t="shared" si="30"/>
        <v>808.45019200000002</v>
      </c>
      <c r="F318">
        <f t="shared" si="31"/>
        <v>163.54980799999998</v>
      </c>
      <c r="G318">
        <f t="shared" si="32"/>
        <v>26748.539696836859</v>
      </c>
      <c r="H318">
        <f t="shared" si="33"/>
        <v>85.839600000000019</v>
      </c>
      <c r="I318">
        <f t="shared" si="34"/>
        <v>7368.4369281600029</v>
      </c>
    </row>
    <row r="319" spans="1:9" x14ac:dyDescent="0.3">
      <c r="A319">
        <v>46612</v>
      </c>
      <c r="B319">
        <v>710</v>
      </c>
      <c r="C319">
        <f t="shared" si="28"/>
        <v>2172678544</v>
      </c>
      <c r="D319">
        <f t="shared" si="29"/>
        <v>33094520</v>
      </c>
      <c r="E319">
        <f t="shared" si="30"/>
        <v>816.18804799999998</v>
      </c>
      <c r="F319">
        <f t="shared" si="31"/>
        <v>-106.18804799999998</v>
      </c>
      <c r="G319">
        <f t="shared" si="32"/>
        <v>11275.901538050301</v>
      </c>
      <c r="H319">
        <f t="shared" si="33"/>
        <v>-176.16039999999998</v>
      </c>
      <c r="I319">
        <f t="shared" si="34"/>
        <v>31032.486528159992</v>
      </c>
    </row>
    <row r="320" spans="1:9" x14ac:dyDescent="0.3">
      <c r="A320">
        <v>53233</v>
      </c>
      <c r="B320">
        <v>352</v>
      </c>
      <c r="C320">
        <f t="shared" si="28"/>
        <v>2833752289</v>
      </c>
      <c r="D320">
        <f t="shared" si="29"/>
        <v>18738016</v>
      </c>
      <c r="E320">
        <f t="shared" si="30"/>
        <v>817.86978199999999</v>
      </c>
      <c r="F320">
        <f t="shared" si="31"/>
        <v>-465.86978199999999</v>
      </c>
      <c r="G320">
        <f t="shared" si="32"/>
        <v>217034.6537807275</v>
      </c>
      <c r="H320">
        <f t="shared" si="33"/>
        <v>-534.16039999999998</v>
      </c>
      <c r="I320">
        <f t="shared" si="34"/>
        <v>285327.33292815997</v>
      </c>
    </row>
    <row r="321" spans="1:9" x14ac:dyDescent="0.3">
      <c r="A321">
        <v>3693174</v>
      </c>
      <c r="B321">
        <v>1960</v>
      </c>
      <c r="C321">
        <f t="shared" si="28"/>
        <v>13639534194276</v>
      </c>
      <c r="D321">
        <f t="shared" si="29"/>
        <v>7238621040</v>
      </c>
      <c r="E321">
        <f t="shared" si="30"/>
        <v>1742.414796</v>
      </c>
      <c r="F321">
        <f t="shared" si="31"/>
        <v>217.58520399999998</v>
      </c>
      <c r="G321">
        <f t="shared" si="32"/>
        <v>47343.320999721604</v>
      </c>
      <c r="H321">
        <f t="shared" si="33"/>
        <v>1073.8396</v>
      </c>
      <c r="I321">
        <f t="shared" si="34"/>
        <v>1153131.4865281601</v>
      </c>
    </row>
    <row r="322" spans="1:9" x14ac:dyDescent="0.3">
      <c r="A322">
        <v>15828</v>
      </c>
      <c r="B322">
        <v>233</v>
      </c>
      <c r="C322">
        <f t="shared" si="28"/>
        <v>250525584</v>
      </c>
      <c r="D322">
        <f t="shared" si="29"/>
        <v>3687924</v>
      </c>
      <c r="E322">
        <f t="shared" si="30"/>
        <v>808.36891200000002</v>
      </c>
      <c r="F322">
        <f t="shared" si="31"/>
        <v>-575.36891200000002</v>
      </c>
      <c r="G322">
        <f t="shared" si="32"/>
        <v>331049.38489606377</v>
      </c>
      <c r="H322">
        <f t="shared" si="33"/>
        <v>-653.16039999999998</v>
      </c>
      <c r="I322">
        <f t="shared" si="34"/>
        <v>426618.50812815997</v>
      </c>
    </row>
    <row r="323" spans="1:9" x14ac:dyDescent="0.3">
      <c r="A323">
        <v>45875</v>
      </c>
      <c r="B323">
        <v>1037</v>
      </c>
      <c r="C323">
        <f t="shared" ref="C323:C386" si="35">PRODUCT(A323,A323)</f>
        <v>2104515625</v>
      </c>
      <c r="D323">
        <f t="shared" ref="D323:D386" si="36">PRODUCT(A323,B323)</f>
        <v>47572375</v>
      </c>
      <c r="E323">
        <f t="shared" ref="E323:E386" si="37">804.3486+PRODUCT(0.000254,A323)</f>
        <v>816.00085000000001</v>
      </c>
      <c r="F323">
        <f t="shared" ref="F323:F386" si="38">B323-E323</f>
        <v>220.99914999999999</v>
      </c>
      <c r="G323">
        <f t="shared" ref="G323:G386" si="39">PRODUCT(F323,F323)</f>
        <v>48840.624300722491</v>
      </c>
      <c r="H323">
        <f t="shared" ref="H323:H386" si="40">B323-886.1604</f>
        <v>150.83960000000002</v>
      </c>
      <c r="I323">
        <f t="shared" ref="I323:I386" si="41">PRODUCT(H323,H323)</f>
        <v>22752.584928160006</v>
      </c>
    </row>
    <row r="324" spans="1:9" x14ac:dyDescent="0.3">
      <c r="A324">
        <v>231462</v>
      </c>
      <c r="B324">
        <v>1018</v>
      </c>
      <c r="C324">
        <f t="shared" si="35"/>
        <v>53574657444</v>
      </c>
      <c r="D324">
        <f t="shared" si="36"/>
        <v>235628316</v>
      </c>
      <c r="E324">
        <f t="shared" si="37"/>
        <v>863.139948</v>
      </c>
      <c r="F324">
        <f t="shared" si="38"/>
        <v>154.860052</v>
      </c>
      <c r="G324">
        <f t="shared" si="39"/>
        <v>23981.635705442703</v>
      </c>
      <c r="H324">
        <f t="shared" si="40"/>
        <v>131.83960000000002</v>
      </c>
      <c r="I324">
        <f t="shared" si="41"/>
        <v>17381.680128160006</v>
      </c>
    </row>
    <row r="325" spans="1:9" x14ac:dyDescent="0.3">
      <c r="A325">
        <v>318837</v>
      </c>
      <c r="B325">
        <v>930</v>
      </c>
      <c r="C325">
        <f t="shared" si="35"/>
        <v>101657032569</v>
      </c>
      <c r="D325">
        <f t="shared" si="36"/>
        <v>296518410</v>
      </c>
      <c r="E325">
        <f t="shared" si="37"/>
        <v>885.33319800000004</v>
      </c>
      <c r="F325">
        <f t="shared" si="38"/>
        <v>44.666801999999961</v>
      </c>
      <c r="G325">
        <f t="shared" si="39"/>
        <v>1995.1232009072005</v>
      </c>
      <c r="H325">
        <f t="shared" si="40"/>
        <v>43.839600000000019</v>
      </c>
      <c r="I325">
        <f t="shared" si="41"/>
        <v>1921.9105281600016</v>
      </c>
    </row>
    <row r="326" spans="1:9" x14ac:dyDescent="0.3">
      <c r="A326">
        <v>349938</v>
      </c>
      <c r="B326">
        <v>1096</v>
      </c>
      <c r="C326">
        <f t="shared" si="35"/>
        <v>122456603844</v>
      </c>
      <c r="D326">
        <f t="shared" si="36"/>
        <v>383532048</v>
      </c>
      <c r="E326">
        <f t="shared" si="37"/>
        <v>893.23285200000009</v>
      </c>
      <c r="F326">
        <f t="shared" si="38"/>
        <v>202.76714799999991</v>
      </c>
      <c r="G326">
        <f t="shared" si="39"/>
        <v>41114.51630805387</v>
      </c>
      <c r="H326">
        <f t="shared" si="40"/>
        <v>209.83960000000002</v>
      </c>
      <c r="I326">
        <f t="shared" si="41"/>
        <v>44032.657728160011</v>
      </c>
    </row>
    <row r="327" spans="1:9" x14ac:dyDescent="0.3">
      <c r="A327">
        <v>5486433</v>
      </c>
      <c r="B327">
        <v>2288</v>
      </c>
      <c r="C327">
        <f t="shared" si="35"/>
        <v>30100947063489</v>
      </c>
      <c r="D327">
        <f t="shared" si="36"/>
        <v>12552958704</v>
      </c>
      <c r="E327">
        <f t="shared" si="37"/>
        <v>2197.9025819999997</v>
      </c>
      <c r="F327">
        <f t="shared" si="38"/>
        <v>90.097418000000289</v>
      </c>
      <c r="G327">
        <f t="shared" si="39"/>
        <v>8117.5447302667762</v>
      </c>
      <c r="H327">
        <f t="shared" si="40"/>
        <v>1401.8396</v>
      </c>
      <c r="I327">
        <f t="shared" si="41"/>
        <v>1965154.26412816</v>
      </c>
    </row>
    <row r="328" spans="1:9" x14ac:dyDescent="0.3">
      <c r="A328">
        <v>3437</v>
      </c>
      <c r="B328">
        <v>360</v>
      </c>
      <c r="C328">
        <f t="shared" si="35"/>
        <v>11812969</v>
      </c>
      <c r="D328">
        <f t="shared" si="36"/>
        <v>1237320</v>
      </c>
      <c r="E328">
        <f t="shared" si="37"/>
        <v>805.22159800000009</v>
      </c>
      <c r="F328">
        <f t="shared" si="38"/>
        <v>-445.22159800000009</v>
      </c>
      <c r="G328">
        <f t="shared" si="39"/>
        <v>198222.27132567368</v>
      </c>
      <c r="H328">
        <f t="shared" si="40"/>
        <v>-526.16039999999998</v>
      </c>
      <c r="I328">
        <f t="shared" si="41"/>
        <v>276844.76652815996</v>
      </c>
    </row>
    <row r="329" spans="1:9" x14ac:dyDescent="0.3">
      <c r="A329">
        <v>988204</v>
      </c>
      <c r="B329">
        <v>1213</v>
      </c>
      <c r="C329">
        <f t="shared" si="35"/>
        <v>976547145616</v>
      </c>
      <c r="D329">
        <f t="shared" si="36"/>
        <v>1198691452</v>
      </c>
      <c r="E329">
        <f t="shared" si="37"/>
        <v>1055.3524159999999</v>
      </c>
      <c r="F329">
        <f t="shared" si="38"/>
        <v>157.64758400000005</v>
      </c>
      <c r="G329">
        <f t="shared" si="39"/>
        <v>24852.760741037073</v>
      </c>
      <c r="H329">
        <f t="shared" si="40"/>
        <v>326.83960000000002</v>
      </c>
      <c r="I329">
        <f t="shared" si="41"/>
        <v>106824.12412816001</v>
      </c>
    </row>
    <row r="330" spans="1:9" x14ac:dyDescent="0.3">
      <c r="A330">
        <v>92</v>
      </c>
      <c r="B330">
        <v>100</v>
      </c>
      <c r="C330">
        <f t="shared" si="35"/>
        <v>8464</v>
      </c>
      <c r="D330">
        <f t="shared" si="36"/>
        <v>9200</v>
      </c>
      <c r="E330">
        <f t="shared" si="37"/>
        <v>804.37196800000004</v>
      </c>
      <c r="F330">
        <f t="shared" si="38"/>
        <v>-704.37196800000004</v>
      </c>
      <c r="G330">
        <f t="shared" si="39"/>
        <v>496139.86930419307</v>
      </c>
      <c r="H330">
        <f t="shared" si="40"/>
        <v>-786.16039999999998</v>
      </c>
      <c r="I330">
        <f t="shared" si="41"/>
        <v>618048.17452816002</v>
      </c>
    </row>
    <row r="331" spans="1:9" x14ac:dyDescent="0.3">
      <c r="A331">
        <v>1239</v>
      </c>
      <c r="B331">
        <v>584</v>
      </c>
      <c r="C331">
        <f t="shared" si="35"/>
        <v>1535121</v>
      </c>
      <c r="D331">
        <f t="shared" si="36"/>
        <v>723576</v>
      </c>
      <c r="E331">
        <f t="shared" si="37"/>
        <v>804.66330600000003</v>
      </c>
      <c r="F331">
        <f t="shared" si="38"/>
        <v>-220.66330600000003</v>
      </c>
      <c r="G331">
        <f t="shared" si="39"/>
        <v>48692.294614849648</v>
      </c>
      <c r="H331">
        <f t="shared" si="40"/>
        <v>-302.16039999999998</v>
      </c>
      <c r="I331">
        <f t="shared" si="41"/>
        <v>91300.907328159985</v>
      </c>
    </row>
    <row r="332" spans="1:9" x14ac:dyDescent="0.3">
      <c r="A332">
        <v>61602</v>
      </c>
      <c r="B332">
        <v>1144</v>
      </c>
      <c r="C332">
        <f t="shared" si="35"/>
        <v>3794806404</v>
      </c>
      <c r="D332">
        <f t="shared" si="36"/>
        <v>70472688</v>
      </c>
      <c r="E332">
        <f t="shared" si="37"/>
        <v>819.99550800000009</v>
      </c>
      <c r="F332">
        <f t="shared" si="38"/>
        <v>324.00449199999991</v>
      </c>
      <c r="G332">
        <f t="shared" si="39"/>
        <v>104978.91083617801</v>
      </c>
      <c r="H332">
        <f t="shared" si="40"/>
        <v>257.83960000000002</v>
      </c>
      <c r="I332">
        <f t="shared" si="41"/>
        <v>66481.259328160013</v>
      </c>
    </row>
    <row r="333" spans="1:9" x14ac:dyDescent="0.3">
      <c r="A333">
        <v>533620</v>
      </c>
      <c r="B333">
        <v>1126</v>
      </c>
      <c r="C333">
        <f t="shared" si="35"/>
        <v>284750304400</v>
      </c>
      <c r="D333">
        <f t="shared" si="36"/>
        <v>600856120</v>
      </c>
      <c r="E333">
        <f t="shared" si="37"/>
        <v>939.88808000000006</v>
      </c>
      <c r="F333">
        <f t="shared" si="38"/>
        <v>186.11191999999994</v>
      </c>
      <c r="G333">
        <f t="shared" si="39"/>
        <v>34637.646766086378</v>
      </c>
      <c r="H333">
        <f t="shared" si="40"/>
        <v>239.83960000000002</v>
      </c>
      <c r="I333">
        <f t="shared" si="41"/>
        <v>57523.033728160008</v>
      </c>
    </row>
    <row r="334" spans="1:9" x14ac:dyDescent="0.3">
      <c r="A334">
        <v>265881</v>
      </c>
      <c r="B334">
        <v>1500</v>
      </c>
      <c r="C334">
        <f t="shared" si="35"/>
        <v>70692706161</v>
      </c>
      <c r="D334">
        <f t="shared" si="36"/>
        <v>398821500</v>
      </c>
      <c r="E334">
        <f t="shared" si="37"/>
        <v>871.88237400000003</v>
      </c>
      <c r="F334">
        <f t="shared" si="38"/>
        <v>628.11762599999997</v>
      </c>
      <c r="G334">
        <f t="shared" si="39"/>
        <v>394531.75209187582</v>
      </c>
      <c r="H334">
        <f t="shared" si="40"/>
        <v>613.83960000000002</v>
      </c>
      <c r="I334">
        <f t="shared" si="41"/>
        <v>376799.05452816002</v>
      </c>
    </row>
    <row r="335" spans="1:9" x14ac:dyDescent="0.3">
      <c r="A335">
        <v>79404</v>
      </c>
      <c r="B335">
        <v>766</v>
      </c>
      <c r="C335">
        <f t="shared" si="35"/>
        <v>6304995216</v>
      </c>
      <c r="D335">
        <f t="shared" si="36"/>
        <v>60823464</v>
      </c>
      <c r="E335">
        <f t="shared" si="37"/>
        <v>824.51721600000008</v>
      </c>
      <c r="F335">
        <f t="shared" si="38"/>
        <v>-58.517216000000076</v>
      </c>
      <c r="G335">
        <f t="shared" si="39"/>
        <v>3424.2645683906649</v>
      </c>
      <c r="H335">
        <f t="shared" si="40"/>
        <v>-120.16039999999998</v>
      </c>
      <c r="I335">
        <f t="shared" si="41"/>
        <v>14438.521728159996</v>
      </c>
    </row>
    <row r="336" spans="1:9" x14ac:dyDescent="0.3">
      <c r="A336">
        <v>5245</v>
      </c>
      <c r="B336">
        <v>635</v>
      </c>
      <c r="C336">
        <f t="shared" si="35"/>
        <v>27510025</v>
      </c>
      <c r="D336">
        <f t="shared" si="36"/>
        <v>3330575</v>
      </c>
      <c r="E336">
        <f t="shared" si="37"/>
        <v>805.68083000000001</v>
      </c>
      <c r="F336">
        <f t="shared" si="38"/>
        <v>-170.68083000000001</v>
      </c>
      <c r="G336">
        <f t="shared" si="39"/>
        <v>29131.945729488903</v>
      </c>
      <c r="H336">
        <f t="shared" si="40"/>
        <v>-251.16039999999998</v>
      </c>
      <c r="I336">
        <f t="shared" si="41"/>
        <v>63081.54652815999</v>
      </c>
    </row>
    <row r="337" spans="1:9" x14ac:dyDescent="0.3">
      <c r="A337">
        <v>2253321</v>
      </c>
      <c r="B337">
        <v>1095</v>
      </c>
      <c r="C337">
        <f t="shared" si="35"/>
        <v>5077455529041</v>
      </c>
      <c r="D337">
        <f t="shared" si="36"/>
        <v>2467386495</v>
      </c>
      <c r="E337">
        <f t="shared" si="37"/>
        <v>1376.6921339999999</v>
      </c>
      <c r="F337">
        <f t="shared" si="38"/>
        <v>-281.6921339999999</v>
      </c>
      <c r="G337">
        <f t="shared" si="39"/>
        <v>79350.458357473894</v>
      </c>
      <c r="H337">
        <f t="shared" si="40"/>
        <v>208.83960000000002</v>
      </c>
      <c r="I337">
        <f t="shared" si="41"/>
        <v>43613.978528160005</v>
      </c>
    </row>
    <row r="338" spans="1:9" x14ac:dyDescent="0.3">
      <c r="A338">
        <v>110547</v>
      </c>
      <c r="B338">
        <v>1178</v>
      </c>
      <c r="C338">
        <f t="shared" si="35"/>
        <v>12220639209</v>
      </c>
      <c r="D338">
        <f t="shared" si="36"/>
        <v>130224366</v>
      </c>
      <c r="E338">
        <f t="shared" si="37"/>
        <v>832.42753800000003</v>
      </c>
      <c r="F338">
        <f t="shared" si="38"/>
        <v>345.57246199999997</v>
      </c>
      <c r="G338">
        <f t="shared" si="39"/>
        <v>119420.32649274143</v>
      </c>
      <c r="H338">
        <f t="shared" si="40"/>
        <v>291.83960000000002</v>
      </c>
      <c r="I338">
        <f t="shared" si="41"/>
        <v>85170.352128160011</v>
      </c>
    </row>
    <row r="339" spans="1:9" x14ac:dyDescent="0.3">
      <c r="A339">
        <v>14205</v>
      </c>
      <c r="B339">
        <v>411</v>
      </c>
      <c r="C339">
        <f t="shared" si="35"/>
        <v>201782025</v>
      </c>
      <c r="D339">
        <f t="shared" si="36"/>
        <v>5838255</v>
      </c>
      <c r="E339">
        <f t="shared" si="37"/>
        <v>807.95667000000003</v>
      </c>
      <c r="F339">
        <f t="shared" si="38"/>
        <v>-396.95667000000003</v>
      </c>
      <c r="G339">
        <f t="shared" si="39"/>
        <v>157574.59785748893</v>
      </c>
      <c r="H339">
        <f t="shared" si="40"/>
        <v>-475.16039999999998</v>
      </c>
      <c r="I339">
        <f t="shared" si="41"/>
        <v>225777.40572816</v>
      </c>
    </row>
    <row r="340" spans="1:9" x14ac:dyDescent="0.3">
      <c r="A340">
        <v>403275</v>
      </c>
      <c r="B340">
        <v>1039</v>
      </c>
      <c r="C340">
        <f t="shared" si="35"/>
        <v>162630725625</v>
      </c>
      <c r="D340">
        <f t="shared" si="36"/>
        <v>419002725</v>
      </c>
      <c r="E340">
        <f t="shared" si="37"/>
        <v>906.78044999999997</v>
      </c>
      <c r="F340">
        <f t="shared" si="38"/>
        <v>132.21955000000003</v>
      </c>
      <c r="G340">
        <f t="shared" si="39"/>
        <v>17482.009402202508</v>
      </c>
      <c r="H340">
        <f t="shared" si="40"/>
        <v>152.83960000000002</v>
      </c>
      <c r="I340">
        <f t="shared" si="41"/>
        <v>23359.943328160007</v>
      </c>
    </row>
    <row r="341" spans="1:9" x14ac:dyDescent="0.3">
      <c r="A341">
        <v>11529</v>
      </c>
      <c r="B341">
        <v>286</v>
      </c>
      <c r="C341">
        <f t="shared" si="35"/>
        <v>132917841</v>
      </c>
      <c r="D341">
        <f t="shared" si="36"/>
        <v>3297294</v>
      </c>
      <c r="E341">
        <f t="shared" si="37"/>
        <v>807.27696600000002</v>
      </c>
      <c r="F341">
        <f t="shared" si="38"/>
        <v>-521.27696600000002</v>
      </c>
      <c r="G341">
        <f t="shared" si="39"/>
        <v>271729.67528216518</v>
      </c>
      <c r="H341">
        <f t="shared" si="40"/>
        <v>-600.16039999999998</v>
      </c>
      <c r="I341">
        <f t="shared" si="41"/>
        <v>360192.50572815997</v>
      </c>
    </row>
    <row r="342" spans="1:9" x14ac:dyDescent="0.3">
      <c r="A342">
        <v>81004</v>
      </c>
      <c r="B342">
        <v>1644</v>
      </c>
      <c r="C342">
        <f t="shared" si="35"/>
        <v>6561648016</v>
      </c>
      <c r="D342">
        <f t="shared" si="36"/>
        <v>133170576</v>
      </c>
      <c r="E342">
        <f t="shared" si="37"/>
        <v>824.92361600000004</v>
      </c>
      <c r="F342">
        <f t="shared" si="38"/>
        <v>819.07638399999996</v>
      </c>
      <c r="G342">
        <f t="shared" si="39"/>
        <v>670886.12282651535</v>
      </c>
      <c r="H342">
        <f t="shared" si="40"/>
        <v>757.83960000000002</v>
      </c>
      <c r="I342">
        <f t="shared" si="41"/>
        <v>574320.85932816006</v>
      </c>
    </row>
    <row r="343" spans="1:9" x14ac:dyDescent="0.3">
      <c r="A343">
        <v>78588</v>
      </c>
      <c r="B343">
        <v>291</v>
      </c>
      <c r="C343">
        <f t="shared" si="35"/>
        <v>6176073744</v>
      </c>
      <c r="D343">
        <f t="shared" si="36"/>
        <v>22869108</v>
      </c>
      <c r="E343">
        <f t="shared" si="37"/>
        <v>824.30995200000007</v>
      </c>
      <c r="F343">
        <f t="shared" si="38"/>
        <v>-533.30995200000007</v>
      </c>
      <c r="G343">
        <f t="shared" si="39"/>
        <v>284419.50490224239</v>
      </c>
      <c r="H343">
        <f t="shared" si="40"/>
        <v>-595.16039999999998</v>
      </c>
      <c r="I343">
        <f t="shared" si="41"/>
        <v>354215.90172815998</v>
      </c>
    </row>
    <row r="344" spans="1:9" x14ac:dyDescent="0.3">
      <c r="A344">
        <v>414849</v>
      </c>
      <c r="B344">
        <v>735</v>
      </c>
      <c r="C344">
        <f t="shared" si="35"/>
        <v>172099692801</v>
      </c>
      <c r="D344">
        <f t="shared" si="36"/>
        <v>304914015</v>
      </c>
      <c r="E344">
        <f t="shared" si="37"/>
        <v>909.72024600000009</v>
      </c>
      <c r="F344">
        <f t="shared" si="38"/>
        <v>-174.72024600000009</v>
      </c>
      <c r="G344">
        <f t="shared" si="39"/>
        <v>30527.164362300548</v>
      </c>
      <c r="H344">
        <f t="shared" si="40"/>
        <v>-151.16039999999998</v>
      </c>
      <c r="I344">
        <f t="shared" si="41"/>
        <v>22849.466528159996</v>
      </c>
    </row>
    <row r="345" spans="1:9" x14ac:dyDescent="0.3">
      <c r="A345">
        <v>317745</v>
      </c>
      <c r="B345">
        <v>521</v>
      </c>
      <c r="C345">
        <f t="shared" si="35"/>
        <v>100961885025</v>
      </c>
      <c r="D345">
        <f t="shared" si="36"/>
        <v>165545145</v>
      </c>
      <c r="E345">
        <f t="shared" si="37"/>
        <v>885.05583000000001</v>
      </c>
      <c r="F345">
        <f t="shared" si="38"/>
        <v>-364.05583000000001</v>
      </c>
      <c r="G345">
        <f t="shared" si="39"/>
        <v>132536.64735698892</v>
      </c>
      <c r="H345">
        <f t="shared" si="40"/>
        <v>-365.16039999999998</v>
      </c>
      <c r="I345">
        <f t="shared" si="41"/>
        <v>133342.11772816</v>
      </c>
    </row>
    <row r="346" spans="1:9" x14ac:dyDescent="0.3">
      <c r="A346">
        <v>252332</v>
      </c>
      <c r="B346">
        <v>924</v>
      </c>
      <c r="C346">
        <f t="shared" si="35"/>
        <v>63671438224</v>
      </c>
      <c r="D346">
        <f t="shared" si="36"/>
        <v>233154768</v>
      </c>
      <c r="E346">
        <f t="shared" si="37"/>
        <v>868.44092799999999</v>
      </c>
      <c r="F346">
        <f t="shared" si="38"/>
        <v>55.559072000000015</v>
      </c>
      <c r="G346">
        <f t="shared" si="39"/>
        <v>3086.8104815011857</v>
      </c>
      <c r="H346">
        <f t="shared" si="40"/>
        <v>37.839600000000019</v>
      </c>
      <c r="I346">
        <f t="shared" si="41"/>
        <v>1431.8353281600014</v>
      </c>
    </row>
    <row r="347" spans="1:9" x14ac:dyDescent="0.3">
      <c r="A347">
        <v>1095039</v>
      </c>
      <c r="B347">
        <v>1248</v>
      </c>
      <c r="C347">
        <f t="shared" si="35"/>
        <v>1199110411521</v>
      </c>
      <c r="D347">
        <f t="shared" si="36"/>
        <v>1366608672</v>
      </c>
      <c r="E347">
        <f t="shared" si="37"/>
        <v>1082.4885060000001</v>
      </c>
      <c r="F347">
        <f t="shared" si="38"/>
        <v>165.51149399999986</v>
      </c>
      <c r="G347">
        <f t="shared" si="39"/>
        <v>27394.054646111988</v>
      </c>
      <c r="H347">
        <f t="shared" si="40"/>
        <v>361.83960000000002</v>
      </c>
      <c r="I347">
        <f t="shared" si="41"/>
        <v>130927.89612816002</v>
      </c>
    </row>
    <row r="348" spans="1:9" x14ac:dyDescent="0.3">
      <c r="A348">
        <v>57600</v>
      </c>
      <c r="B348">
        <v>696</v>
      </c>
      <c r="C348">
        <f t="shared" si="35"/>
        <v>3317760000</v>
      </c>
      <c r="D348">
        <f t="shared" si="36"/>
        <v>40089600</v>
      </c>
      <c r="E348">
        <f t="shared" si="37"/>
        <v>818.97900000000004</v>
      </c>
      <c r="F348">
        <f t="shared" si="38"/>
        <v>-122.97900000000004</v>
      </c>
      <c r="G348">
        <f t="shared" si="39"/>
        <v>15123.83444100001</v>
      </c>
      <c r="H348">
        <f t="shared" si="40"/>
        <v>-190.16039999999998</v>
      </c>
      <c r="I348">
        <f t="shared" si="41"/>
        <v>36160.977728159996</v>
      </c>
    </row>
    <row r="349" spans="1:9" x14ac:dyDescent="0.3">
      <c r="A349">
        <v>17113</v>
      </c>
      <c r="B349">
        <v>445</v>
      </c>
      <c r="C349">
        <f t="shared" si="35"/>
        <v>292854769</v>
      </c>
      <c r="D349">
        <f t="shared" si="36"/>
        <v>7615285</v>
      </c>
      <c r="E349">
        <f t="shared" si="37"/>
        <v>808.69530200000008</v>
      </c>
      <c r="F349">
        <f t="shared" si="38"/>
        <v>-363.69530200000008</v>
      </c>
      <c r="G349">
        <f t="shared" si="39"/>
        <v>132274.27269687125</v>
      </c>
      <c r="H349">
        <f t="shared" si="40"/>
        <v>-441.16039999999998</v>
      </c>
      <c r="I349">
        <f t="shared" si="41"/>
        <v>194622.49852815998</v>
      </c>
    </row>
    <row r="350" spans="1:9" x14ac:dyDescent="0.3">
      <c r="A350">
        <v>12216</v>
      </c>
      <c r="B350">
        <v>717</v>
      </c>
      <c r="C350">
        <f t="shared" si="35"/>
        <v>149230656</v>
      </c>
      <c r="D350">
        <f t="shared" si="36"/>
        <v>8758872</v>
      </c>
      <c r="E350">
        <f t="shared" si="37"/>
        <v>807.45146399999999</v>
      </c>
      <c r="F350">
        <f t="shared" si="38"/>
        <v>-90.451463999999987</v>
      </c>
      <c r="G350">
        <f t="shared" si="39"/>
        <v>8181.4673397432935</v>
      </c>
      <c r="H350">
        <f t="shared" si="40"/>
        <v>-169.16039999999998</v>
      </c>
      <c r="I350">
        <f t="shared" si="41"/>
        <v>28615.240928159994</v>
      </c>
    </row>
    <row r="351" spans="1:9" x14ac:dyDescent="0.3">
      <c r="A351">
        <v>36391</v>
      </c>
      <c r="B351">
        <v>656</v>
      </c>
      <c r="C351">
        <f t="shared" si="35"/>
        <v>1324304881</v>
      </c>
      <c r="D351">
        <f t="shared" si="36"/>
        <v>23872496</v>
      </c>
      <c r="E351">
        <f t="shared" si="37"/>
        <v>813.59191400000009</v>
      </c>
      <c r="F351">
        <f t="shared" si="38"/>
        <v>-157.59191400000009</v>
      </c>
      <c r="G351">
        <f t="shared" si="39"/>
        <v>24835.211358183424</v>
      </c>
      <c r="H351">
        <f t="shared" si="40"/>
        <v>-230.16039999999998</v>
      </c>
      <c r="I351">
        <f t="shared" si="41"/>
        <v>52973.809728159991</v>
      </c>
    </row>
    <row r="352" spans="1:9" x14ac:dyDescent="0.3">
      <c r="A352">
        <v>13648</v>
      </c>
      <c r="B352">
        <v>1069</v>
      </c>
      <c r="C352">
        <f t="shared" si="35"/>
        <v>186267904</v>
      </c>
      <c r="D352">
        <f t="shared" si="36"/>
        <v>14589712</v>
      </c>
      <c r="E352">
        <f t="shared" si="37"/>
        <v>807.81519200000002</v>
      </c>
      <c r="F352">
        <f t="shared" si="38"/>
        <v>261.18480799999998</v>
      </c>
      <c r="G352">
        <f t="shared" si="39"/>
        <v>68217.503929996848</v>
      </c>
      <c r="H352">
        <f t="shared" si="40"/>
        <v>182.83960000000002</v>
      </c>
      <c r="I352">
        <f t="shared" si="41"/>
        <v>33430.319328160003</v>
      </c>
    </row>
    <row r="353" spans="1:9" x14ac:dyDescent="0.3">
      <c r="A353">
        <v>846941</v>
      </c>
      <c r="B353">
        <v>1492</v>
      </c>
      <c r="C353">
        <f t="shared" si="35"/>
        <v>717309057481</v>
      </c>
      <c r="D353">
        <f t="shared" si="36"/>
        <v>1263635972</v>
      </c>
      <c r="E353">
        <f t="shared" si="37"/>
        <v>1019.471614</v>
      </c>
      <c r="F353">
        <f t="shared" si="38"/>
        <v>472.52838599999995</v>
      </c>
      <c r="G353">
        <f t="shared" si="39"/>
        <v>223283.07557576496</v>
      </c>
      <c r="H353">
        <f t="shared" si="40"/>
        <v>605.83960000000002</v>
      </c>
      <c r="I353">
        <f t="shared" si="41"/>
        <v>367041.62092816003</v>
      </c>
    </row>
    <row r="354" spans="1:9" x14ac:dyDescent="0.3">
      <c r="A354">
        <v>60252</v>
      </c>
      <c r="B354">
        <v>737</v>
      </c>
      <c r="C354">
        <f t="shared" si="35"/>
        <v>3630303504</v>
      </c>
      <c r="D354">
        <f t="shared" si="36"/>
        <v>44405724</v>
      </c>
      <c r="E354">
        <f t="shared" si="37"/>
        <v>819.65260799999999</v>
      </c>
      <c r="F354">
        <f t="shared" si="38"/>
        <v>-82.652607999999987</v>
      </c>
      <c r="G354">
        <f t="shared" si="39"/>
        <v>6831.4536092016615</v>
      </c>
      <c r="H354">
        <f t="shared" si="40"/>
        <v>-149.16039999999998</v>
      </c>
      <c r="I354">
        <f t="shared" si="41"/>
        <v>22248.824928159993</v>
      </c>
    </row>
    <row r="355" spans="1:9" x14ac:dyDescent="0.3">
      <c r="A355">
        <v>9729833</v>
      </c>
      <c r="B355">
        <v>2019</v>
      </c>
      <c r="C355">
        <f t="shared" si="35"/>
        <v>94669650207889</v>
      </c>
      <c r="D355">
        <f t="shared" si="36"/>
        <v>19644532827</v>
      </c>
      <c r="E355">
        <f t="shared" si="37"/>
        <v>3275.7261820000003</v>
      </c>
      <c r="F355">
        <f t="shared" si="38"/>
        <v>-1256.7261820000003</v>
      </c>
      <c r="G355">
        <f t="shared" si="39"/>
        <v>1579360.6965242981</v>
      </c>
      <c r="H355">
        <f t="shared" si="40"/>
        <v>1132.8396</v>
      </c>
      <c r="I355">
        <f t="shared" si="41"/>
        <v>1283325.55932816</v>
      </c>
    </row>
    <row r="356" spans="1:9" x14ac:dyDescent="0.3">
      <c r="A356">
        <v>186024</v>
      </c>
      <c r="B356">
        <v>1348</v>
      </c>
      <c r="C356">
        <f t="shared" si="35"/>
        <v>34604928576</v>
      </c>
      <c r="D356">
        <f t="shared" si="36"/>
        <v>250760352</v>
      </c>
      <c r="E356">
        <f t="shared" si="37"/>
        <v>851.59869600000002</v>
      </c>
      <c r="F356">
        <f t="shared" si="38"/>
        <v>496.40130399999998</v>
      </c>
      <c r="G356">
        <f t="shared" si="39"/>
        <v>246414.2546129004</v>
      </c>
      <c r="H356">
        <f t="shared" si="40"/>
        <v>461.83960000000002</v>
      </c>
      <c r="I356">
        <f t="shared" si="41"/>
        <v>213295.81612816002</v>
      </c>
    </row>
    <row r="357" spans="1:9" x14ac:dyDescent="0.3">
      <c r="A357">
        <v>124996</v>
      </c>
      <c r="B357">
        <v>815</v>
      </c>
      <c r="C357">
        <f t="shared" si="35"/>
        <v>15624000016</v>
      </c>
      <c r="D357">
        <f t="shared" si="36"/>
        <v>101871740</v>
      </c>
      <c r="E357">
        <f t="shared" si="37"/>
        <v>836.09758399999998</v>
      </c>
      <c r="F357">
        <f t="shared" si="38"/>
        <v>-21.097583999999983</v>
      </c>
      <c r="G357">
        <f t="shared" si="39"/>
        <v>445.10805063705533</v>
      </c>
      <c r="H357">
        <f t="shared" si="40"/>
        <v>-71.160399999999981</v>
      </c>
      <c r="I357">
        <f t="shared" si="41"/>
        <v>5063.8025281599976</v>
      </c>
    </row>
    <row r="358" spans="1:9" x14ac:dyDescent="0.3">
      <c r="A358">
        <v>157135</v>
      </c>
      <c r="B358">
        <v>1042</v>
      </c>
      <c r="C358">
        <f t="shared" si="35"/>
        <v>24691408225</v>
      </c>
      <c r="D358">
        <f t="shared" si="36"/>
        <v>163734670</v>
      </c>
      <c r="E358">
        <f t="shared" si="37"/>
        <v>844.26089000000002</v>
      </c>
      <c r="F358">
        <f t="shared" si="38"/>
        <v>197.73910999999998</v>
      </c>
      <c r="G358">
        <f t="shared" si="39"/>
        <v>39100.755623592093</v>
      </c>
      <c r="H358">
        <f t="shared" si="40"/>
        <v>155.83960000000002</v>
      </c>
      <c r="I358">
        <f t="shared" si="41"/>
        <v>24285.980928160006</v>
      </c>
    </row>
    <row r="359" spans="1:9" x14ac:dyDescent="0.3">
      <c r="A359">
        <v>4816737</v>
      </c>
      <c r="B359">
        <v>1782</v>
      </c>
      <c r="C359">
        <f t="shared" si="35"/>
        <v>23200955327169</v>
      </c>
      <c r="D359">
        <f t="shared" si="36"/>
        <v>8583425334</v>
      </c>
      <c r="E359">
        <f t="shared" si="37"/>
        <v>2027.799798</v>
      </c>
      <c r="F359">
        <f t="shared" si="38"/>
        <v>-245.79979800000001</v>
      </c>
      <c r="G359">
        <f t="shared" si="39"/>
        <v>60417.540696840806</v>
      </c>
      <c r="H359">
        <f t="shared" si="40"/>
        <v>895.83960000000002</v>
      </c>
      <c r="I359">
        <f t="shared" si="41"/>
        <v>802528.58892816002</v>
      </c>
    </row>
    <row r="360" spans="1:9" x14ac:dyDescent="0.3">
      <c r="A360">
        <v>59460</v>
      </c>
      <c r="B360">
        <v>716</v>
      </c>
      <c r="C360">
        <f t="shared" si="35"/>
        <v>3535491600</v>
      </c>
      <c r="D360">
        <f t="shared" si="36"/>
        <v>42573360</v>
      </c>
      <c r="E360">
        <f t="shared" si="37"/>
        <v>819.45144000000005</v>
      </c>
      <c r="F360">
        <f t="shared" si="38"/>
        <v>-103.45144000000005</v>
      </c>
      <c r="G360">
        <f t="shared" si="39"/>
        <v>10702.200438073611</v>
      </c>
      <c r="H360">
        <f t="shared" si="40"/>
        <v>-170.16039999999998</v>
      </c>
      <c r="I360">
        <f t="shared" si="41"/>
        <v>28954.561728159995</v>
      </c>
    </row>
    <row r="361" spans="1:9" x14ac:dyDescent="0.3">
      <c r="A361">
        <v>2214540</v>
      </c>
      <c r="B361">
        <v>2009</v>
      </c>
      <c r="C361">
        <f t="shared" si="35"/>
        <v>4904187411600</v>
      </c>
      <c r="D361">
        <f t="shared" si="36"/>
        <v>4449010860</v>
      </c>
      <c r="E361">
        <f t="shared" si="37"/>
        <v>1366.84176</v>
      </c>
      <c r="F361">
        <f t="shared" si="38"/>
        <v>642.15823999999998</v>
      </c>
      <c r="G361">
        <f t="shared" si="39"/>
        <v>412367.20519989758</v>
      </c>
      <c r="H361">
        <f t="shared" si="40"/>
        <v>1122.8396</v>
      </c>
      <c r="I361">
        <f t="shared" si="41"/>
        <v>1260768.7673281601</v>
      </c>
    </row>
    <row r="362" spans="1:9" x14ac:dyDescent="0.3">
      <c r="A362">
        <v>418</v>
      </c>
      <c r="B362">
        <v>428</v>
      </c>
      <c r="C362">
        <f t="shared" si="35"/>
        <v>174724</v>
      </c>
      <c r="D362">
        <f t="shared" si="36"/>
        <v>178904</v>
      </c>
      <c r="E362">
        <f t="shared" si="37"/>
        <v>804.45477200000005</v>
      </c>
      <c r="F362">
        <f t="shared" si="38"/>
        <v>-376.45477200000005</v>
      </c>
      <c r="G362">
        <f t="shared" si="39"/>
        <v>141718.19536157203</v>
      </c>
      <c r="H362">
        <f t="shared" si="40"/>
        <v>-458.16039999999998</v>
      </c>
      <c r="I362">
        <f t="shared" si="41"/>
        <v>209910.95212815999</v>
      </c>
    </row>
    <row r="363" spans="1:9" x14ac:dyDescent="0.3">
      <c r="A363">
        <v>60889</v>
      </c>
      <c r="B363">
        <v>682</v>
      </c>
      <c r="C363">
        <f t="shared" si="35"/>
        <v>3707470321</v>
      </c>
      <c r="D363">
        <f t="shared" si="36"/>
        <v>41526298</v>
      </c>
      <c r="E363">
        <f t="shared" si="37"/>
        <v>819.81440600000008</v>
      </c>
      <c r="F363">
        <f t="shared" si="38"/>
        <v>-137.81440600000008</v>
      </c>
      <c r="G363">
        <f t="shared" si="39"/>
        <v>18992.810501132855</v>
      </c>
      <c r="H363">
        <f t="shared" si="40"/>
        <v>-204.16039999999998</v>
      </c>
      <c r="I363">
        <f t="shared" si="41"/>
        <v>41681.468928159993</v>
      </c>
    </row>
    <row r="364" spans="1:9" x14ac:dyDescent="0.3">
      <c r="A364">
        <v>176655</v>
      </c>
      <c r="B364">
        <v>989</v>
      </c>
      <c r="C364">
        <f t="shared" si="35"/>
        <v>31206989025</v>
      </c>
      <c r="D364">
        <f t="shared" si="36"/>
        <v>174711795</v>
      </c>
      <c r="E364">
        <f t="shared" si="37"/>
        <v>849.21897000000001</v>
      </c>
      <c r="F364">
        <f t="shared" si="38"/>
        <v>139.78102999999999</v>
      </c>
      <c r="G364">
        <f t="shared" si="39"/>
        <v>19538.736347860897</v>
      </c>
      <c r="H364">
        <f t="shared" si="40"/>
        <v>102.83960000000002</v>
      </c>
      <c r="I364">
        <f t="shared" si="41"/>
        <v>10575.983328160004</v>
      </c>
    </row>
    <row r="365" spans="1:9" x14ac:dyDescent="0.3">
      <c r="A365">
        <v>7950</v>
      </c>
      <c r="B365">
        <v>584</v>
      </c>
      <c r="C365">
        <f t="shared" si="35"/>
        <v>63202500</v>
      </c>
      <c r="D365">
        <f t="shared" si="36"/>
        <v>4642800</v>
      </c>
      <c r="E365">
        <f t="shared" si="37"/>
        <v>806.36790000000008</v>
      </c>
      <c r="F365">
        <f t="shared" si="38"/>
        <v>-222.36790000000008</v>
      </c>
      <c r="G365">
        <f t="shared" si="39"/>
        <v>49447.482950410034</v>
      </c>
      <c r="H365">
        <f t="shared" si="40"/>
        <v>-302.16039999999998</v>
      </c>
      <c r="I365">
        <f t="shared" si="41"/>
        <v>91300.907328159985</v>
      </c>
    </row>
    <row r="366" spans="1:9" x14ac:dyDescent="0.3">
      <c r="A366">
        <v>4356</v>
      </c>
      <c r="B366">
        <v>1026</v>
      </c>
      <c r="C366">
        <f t="shared" si="35"/>
        <v>18974736</v>
      </c>
      <c r="D366">
        <f t="shared" si="36"/>
        <v>4469256</v>
      </c>
      <c r="E366">
        <f t="shared" si="37"/>
        <v>805.45502399999998</v>
      </c>
      <c r="F366">
        <f t="shared" si="38"/>
        <v>220.54497600000002</v>
      </c>
      <c r="G366">
        <f t="shared" si="39"/>
        <v>48640.086438840583</v>
      </c>
      <c r="H366">
        <f t="shared" si="40"/>
        <v>139.83960000000002</v>
      </c>
      <c r="I366">
        <f t="shared" si="41"/>
        <v>19555.113728160006</v>
      </c>
    </row>
    <row r="367" spans="1:9" x14ac:dyDescent="0.3">
      <c r="A367">
        <v>104720</v>
      </c>
      <c r="B367">
        <v>978</v>
      </c>
      <c r="C367">
        <f t="shared" si="35"/>
        <v>10966278400</v>
      </c>
      <c r="D367">
        <f t="shared" si="36"/>
        <v>102416160</v>
      </c>
      <c r="E367">
        <f t="shared" si="37"/>
        <v>830.94748000000004</v>
      </c>
      <c r="F367">
        <f t="shared" si="38"/>
        <v>147.05251999999996</v>
      </c>
      <c r="G367">
        <f t="shared" si="39"/>
        <v>21624.443638350389</v>
      </c>
      <c r="H367">
        <f t="shared" si="40"/>
        <v>91.839600000000019</v>
      </c>
      <c r="I367">
        <f t="shared" si="41"/>
        <v>8434.5121281600041</v>
      </c>
    </row>
    <row r="368" spans="1:9" x14ac:dyDescent="0.3">
      <c r="A368">
        <v>1734900</v>
      </c>
      <c r="B368">
        <v>1886</v>
      </c>
      <c r="C368">
        <f t="shared" si="35"/>
        <v>3009878010000</v>
      </c>
      <c r="D368">
        <f t="shared" si="36"/>
        <v>3272021400</v>
      </c>
      <c r="E368">
        <f t="shared" si="37"/>
        <v>1245.0132000000001</v>
      </c>
      <c r="F368">
        <f t="shared" si="38"/>
        <v>640.9867999999999</v>
      </c>
      <c r="G368">
        <f t="shared" si="39"/>
        <v>410864.07777423988</v>
      </c>
      <c r="H368">
        <f t="shared" si="40"/>
        <v>999.83960000000002</v>
      </c>
      <c r="I368">
        <f t="shared" si="41"/>
        <v>999679.22572816</v>
      </c>
    </row>
    <row r="369" spans="1:9" x14ac:dyDescent="0.3">
      <c r="A369">
        <v>697</v>
      </c>
      <c r="B369">
        <v>917</v>
      </c>
      <c r="C369">
        <f t="shared" si="35"/>
        <v>485809</v>
      </c>
      <c r="D369">
        <f t="shared" si="36"/>
        <v>639149</v>
      </c>
      <c r="E369">
        <f t="shared" si="37"/>
        <v>804.52563800000007</v>
      </c>
      <c r="F369">
        <f t="shared" si="38"/>
        <v>112.47436199999993</v>
      </c>
      <c r="G369">
        <f t="shared" si="39"/>
        <v>12650.482107307027</v>
      </c>
      <c r="H369">
        <f t="shared" si="40"/>
        <v>30.839600000000019</v>
      </c>
      <c r="I369">
        <f t="shared" si="41"/>
        <v>951.08092816000112</v>
      </c>
    </row>
    <row r="370" spans="1:9" x14ac:dyDescent="0.3">
      <c r="A370">
        <v>5374972</v>
      </c>
      <c r="B370">
        <v>2132</v>
      </c>
      <c r="C370">
        <f t="shared" si="35"/>
        <v>28890324000784</v>
      </c>
      <c r="D370">
        <f t="shared" si="36"/>
        <v>11459440304</v>
      </c>
      <c r="E370">
        <f t="shared" si="37"/>
        <v>2169.591488</v>
      </c>
      <c r="F370">
        <f t="shared" si="38"/>
        <v>-37.591488000000027</v>
      </c>
      <c r="G370">
        <f t="shared" si="39"/>
        <v>1413.1199700541461</v>
      </c>
      <c r="H370">
        <f t="shared" si="40"/>
        <v>1245.8396</v>
      </c>
      <c r="I370">
        <f t="shared" si="41"/>
        <v>1552116.30892816</v>
      </c>
    </row>
    <row r="371" spans="1:9" x14ac:dyDescent="0.3">
      <c r="A371">
        <v>188800</v>
      </c>
      <c r="B371">
        <v>903</v>
      </c>
      <c r="C371">
        <f t="shared" si="35"/>
        <v>35645440000</v>
      </c>
      <c r="D371">
        <f t="shared" si="36"/>
        <v>170486400</v>
      </c>
      <c r="E371">
        <f t="shared" si="37"/>
        <v>852.30380000000002</v>
      </c>
      <c r="F371">
        <f t="shared" si="38"/>
        <v>50.696199999999976</v>
      </c>
      <c r="G371">
        <f t="shared" si="39"/>
        <v>2570.1046944399977</v>
      </c>
      <c r="H371">
        <f t="shared" si="40"/>
        <v>16.839600000000019</v>
      </c>
      <c r="I371">
        <f t="shared" si="41"/>
        <v>283.5721281600006</v>
      </c>
    </row>
    <row r="372" spans="1:9" x14ac:dyDescent="0.3">
      <c r="A372">
        <v>153528</v>
      </c>
      <c r="B372">
        <v>772</v>
      </c>
      <c r="C372">
        <f t="shared" si="35"/>
        <v>23570846784</v>
      </c>
      <c r="D372">
        <f t="shared" si="36"/>
        <v>118523616</v>
      </c>
      <c r="E372">
        <f t="shared" si="37"/>
        <v>843.34471200000007</v>
      </c>
      <c r="F372">
        <f t="shared" si="38"/>
        <v>-71.344712000000072</v>
      </c>
      <c r="G372">
        <f t="shared" si="39"/>
        <v>5090.067930362954</v>
      </c>
      <c r="H372">
        <f t="shared" si="40"/>
        <v>-114.16039999999998</v>
      </c>
      <c r="I372">
        <f t="shared" si="41"/>
        <v>13032.596928159996</v>
      </c>
    </row>
    <row r="373" spans="1:9" x14ac:dyDescent="0.3">
      <c r="A373">
        <v>416397</v>
      </c>
      <c r="B373">
        <v>711</v>
      </c>
      <c r="C373">
        <f t="shared" si="35"/>
        <v>173386461609</v>
      </c>
      <c r="D373">
        <f t="shared" si="36"/>
        <v>296058267</v>
      </c>
      <c r="E373">
        <f t="shared" si="37"/>
        <v>910.11343800000009</v>
      </c>
      <c r="F373">
        <f t="shared" si="38"/>
        <v>-199.11343800000009</v>
      </c>
      <c r="G373">
        <f t="shared" si="39"/>
        <v>39646.161192179876</v>
      </c>
      <c r="H373">
        <f t="shared" si="40"/>
        <v>-175.16039999999998</v>
      </c>
      <c r="I373">
        <f t="shared" si="41"/>
        <v>30681.165728159995</v>
      </c>
    </row>
    <row r="374" spans="1:9" x14ac:dyDescent="0.3">
      <c r="A374">
        <v>741</v>
      </c>
      <c r="B374">
        <v>734</v>
      </c>
      <c r="C374">
        <f t="shared" si="35"/>
        <v>549081</v>
      </c>
      <c r="D374">
        <f t="shared" si="36"/>
        <v>543894</v>
      </c>
      <c r="E374">
        <f t="shared" si="37"/>
        <v>804.53681400000005</v>
      </c>
      <c r="F374">
        <f t="shared" si="38"/>
        <v>-70.536814000000049</v>
      </c>
      <c r="G374">
        <f t="shared" si="39"/>
        <v>4975.4421292706029</v>
      </c>
      <c r="H374">
        <f t="shared" si="40"/>
        <v>-152.16039999999998</v>
      </c>
      <c r="I374">
        <f t="shared" si="41"/>
        <v>23152.787328159993</v>
      </c>
    </row>
    <row r="375" spans="1:9" x14ac:dyDescent="0.3">
      <c r="A375">
        <v>214787</v>
      </c>
      <c r="B375">
        <v>988</v>
      </c>
      <c r="C375">
        <f t="shared" si="35"/>
        <v>46133455369</v>
      </c>
      <c r="D375">
        <f t="shared" si="36"/>
        <v>212209556</v>
      </c>
      <c r="E375">
        <f t="shared" si="37"/>
        <v>858.90449799999999</v>
      </c>
      <c r="F375">
        <f t="shared" si="38"/>
        <v>129.09550200000001</v>
      </c>
      <c r="G375">
        <f t="shared" si="39"/>
        <v>16665.648636632006</v>
      </c>
      <c r="H375">
        <f t="shared" si="40"/>
        <v>101.83960000000002</v>
      </c>
      <c r="I375">
        <f t="shared" si="41"/>
        <v>10371.304128160004</v>
      </c>
    </row>
    <row r="376" spans="1:9" x14ac:dyDescent="0.3">
      <c r="A376">
        <v>14608</v>
      </c>
      <c r="B376">
        <v>211</v>
      </c>
      <c r="C376">
        <f t="shared" si="35"/>
        <v>213393664</v>
      </c>
      <c r="D376">
        <f t="shared" si="36"/>
        <v>3082288</v>
      </c>
      <c r="E376">
        <f t="shared" si="37"/>
        <v>808.059032</v>
      </c>
      <c r="F376">
        <f t="shared" si="38"/>
        <v>-597.059032</v>
      </c>
      <c r="G376">
        <f t="shared" si="39"/>
        <v>356479.48769277701</v>
      </c>
      <c r="H376">
        <f t="shared" si="40"/>
        <v>-675.16039999999998</v>
      </c>
      <c r="I376">
        <f t="shared" si="41"/>
        <v>455841.56572815997</v>
      </c>
    </row>
    <row r="377" spans="1:9" x14ac:dyDescent="0.3">
      <c r="A377">
        <v>7190</v>
      </c>
      <c r="B377">
        <v>577</v>
      </c>
      <c r="C377">
        <f t="shared" si="35"/>
        <v>51696100</v>
      </c>
      <c r="D377">
        <f t="shared" si="36"/>
        <v>4148630</v>
      </c>
      <c r="E377">
        <f t="shared" si="37"/>
        <v>806.17486000000008</v>
      </c>
      <c r="F377">
        <f t="shared" si="38"/>
        <v>-229.17486000000008</v>
      </c>
      <c r="G377">
        <f t="shared" si="39"/>
        <v>52521.116456019634</v>
      </c>
      <c r="H377">
        <f t="shared" si="40"/>
        <v>-309.16039999999998</v>
      </c>
      <c r="I377">
        <f t="shared" si="41"/>
        <v>95580.152928159994</v>
      </c>
    </row>
    <row r="378" spans="1:9" x14ac:dyDescent="0.3">
      <c r="A378">
        <v>1662813</v>
      </c>
      <c r="B378">
        <v>1435</v>
      </c>
      <c r="C378">
        <f t="shared" si="35"/>
        <v>2764947072969</v>
      </c>
      <c r="D378">
        <f t="shared" si="36"/>
        <v>2386136655</v>
      </c>
      <c r="E378">
        <f t="shared" si="37"/>
        <v>1226.7031019999999</v>
      </c>
      <c r="F378">
        <f t="shared" si="38"/>
        <v>208.29689800000006</v>
      </c>
      <c r="G378">
        <f t="shared" si="39"/>
        <v>43387.597716422424</v>
      </c>
      <c r="H378">
        <f t="shared" si="40"/>
        <v>548.83960000000002</v>
      </c>
      <c r="I378">
        <f t="shared" si="41"/>
        <v>301224.90652816003</v>
      </c>
    </row>
    <row r="379" spans="1:9" x14ac:dyDescent="0.3">
      <c r="A379">
        <v>223626</v>
      </c>
      <c r="B379">
        <v>1125</v>
      </c>
      <c r="C379">
        <f t="shared" si="35"/>
        <v>50008587876</v>
      </c>
      <c r="D379">
        <f t="shared" si="36"/>
        <v>251579250</v>
      </c>
      <c r="E379">
        <f t="shared" si="37"/>
        <v>861.14960400000007</v>
      </c>
      <c r="F379">
        <f t="shared" si="38"/>
        <v>263.85039599999993</v>
      </c>
      <c r="G379">
        <f t="shared" si="39"/>
        <v>69617.031469356778</v>
      </c>
      <c r="H379">
        <f t="shared" si="40"/>
        <v>238.83960000000002</v>
      </c>
      <c r="I379">
        <f t="shared" si="41"/>
        <v>57044.354528160009</v>
      </c>
    </row>
    <row r="380" spans="1:9" x14ac:dyDescent="0.3">
      <c r="A380">
        <v>319148</v>
      </c>
      <c r="B380">
        <v>499</v>
      </c>
      <c r="C380">
        <f t="shared" si="35"/>
        <v>101855445904</v>
      </c>
      <c r="D380">
        <f t="shared" si="36"/>
        <v>159254852</v>
      </c>
      <c r="E380">
        <f t="shared" si="37"/>
        <v>885.412192</v>
      </c>
      <c r="F380">
        <f t="shared" si="38"/>
        <v>-386.412192</v>
      </c>
      <c r="G380">
        <f t="shared" si="39"/>
        <v>149314.38212624486</v>
      </c>
      <c r="H380">
        <f t="shared" si="40"/>
        <v>-387.16039999999998</v>
      </c>
      <c r="I380">
        <f t="shared" si="41"/>
        <v>149893.17532816</v>
      </c>
    </row>
    <row r="381" spans="1:9" x14ac:dyDescent="0.3">
      <c r="A381">
        <v>316823</v>
      </c>
      <c r="B381">
        <v>1166</v>
      </c>
      <c r="C381">
        <f t="shared" si="35"/>
        <v>100376813329</v>
      </c>
      <c r="D381">
        <f t="shared" si="36"/>
        <v>369415618</v>
      </c>
      <c r="E381">
        <f t="shared" si="37"/>
        <v>884.821642</v>
      </c>
      <c r="F381">
        <f t="shared" si="38"/>
        <v>281.178358</v>
      </c>
      <c r="G381">
        <f t="shared" si="39"/>
        <v>79061.269007576164</v>
      </c>
      <c r="H381">
        <f t="shared" si="40"/>
        <v>279.83960000000002</v>
      </c>
      <c r="I381">
        <f t="shared" si="41"/>
        <v>78310.201728160013</v>
      </c>
    </row>
    <row r="382" spans="1:9" x14ac:dyDescent="0.3">
      <c r="A382">
        <v>740092</v>
      </c>
      <c r="B382">
        <v>988</v>
      </c>
      <c r="C382">
        <f t="shared" si="35"/>
        <v>547736168464</v>
      </c>
      <c r="D382">
        <f t="shared" si="36"/>
        <v>731210896</v>
      </c>
      <c r="E382">
        <f t="shared" si="37"/>
        <v>992.33196799999996</v>
      </c>
      <c r="F382">
        <f t="shared" si="38"/>
        <v>-4.3319679999999607</v>
      </c>
      <c r="G382">
        <f t="shared" si="39"/>
        <v>18.765946753023659</v>
      </c>
      <c r="H382">
        <f t="shared" si="40"/>
        <v>101.83960000000002</v>
      </c>
      <c r="I382">
        <f t="shared" si="41"/>
        <v>10371.304128160004</v>
      </c>
    </row>
    <row r="383" spans="1:9" x14ac:dyDescent="0.3">
      <c r="A383">
        <v>135210</v>
      </c>
      <c r="B383">
        <v>1336</v>
      </c>
      <c r="C383">
        <f t="shared" si="35"/>
        <v>18281744100</v>
      </c>
      <c r="D383">
        <f t="shared" si="36"/>
        <v>180640560</v>
      </c>
      <c r="E383">
        <f t="shared" si="37"/>
        <v>838.69194000000005</v>
      </c>
      <c r="F383">
        <f t="shared" si="38"/>
        <v>497.30805999999995</v>
      </c>
      <c r="G383">
        <f t="shared" si="39"/>
        <v>247315.30654096356</v>
      </c>
      <c r="H383">
        <f t="shared" si="40"/>
        <v>449.83960000000002</v>
      </c>
      <c r="I383">
        <f t="shared" si="41"/>
        <v>202355.66572816001</v>
      </c>
    </row>
    <row r="384" spans="1:9" x14ac:dyDescent="0.3">
      <c r="A384">
        <v>38578</v>
      </c>
      <c r="B384">
        <v>594</v>
      </c>
      <c r="C384">
        <f t="shared" si="35"/>
        <v>1488262084</v>
      </c>
      <c r="D384">
        <f t="shared" si="36"/>
        <v>22915332</v>
      </c>
      <c r="E384">
        <f t="shared" si="37"/>
        <v>814.14741200000003</v>
      </c>
      <c r="F384">
        <f t="shared" si="38"/>
        <v>-220.14741200000003</v>
      </c>
      <c r="G384">
        <f t="shared" si="39"/>
        <v>48464.883010297759</v>
      </c>
      <c r="H384">
        <f t="shared" si="40"/>
        <v>-292.16039999999998</v>
      </c>
      <c r="I384">
        <f t="shared" si="41"/>
        <v>85357.699328159986</v>
      </c>
    </row>
    <row r="385" spans="1:9" x14ac:dyDescent="0.3">
      <c r="A385">
        <v>888389</v>
      </c>
      <c r="B385">
        <v>1354</v>
      </c>
      <c r="C385">
        <f t="shared" si="35"/>
        <v>789235015321</v>
      </c>
      <c r="D385">
        <f t="shared" si="36"/>
        <v>1202878706</v>
      </c>
      <c r="E385">
        <f t="shared" si="37"/>
        <v>1029.9994059999999</v>
      </c>
      <c r="F385">
        <f t="shared" si="38"/>
        <v>324.00059400000009</v>
      </c>
      <c r="G385">
        <f t="shared" si="39"/>
        <v>104976.38491235289</v>
      </c>
      <c r="H385">
        <f t="shared" si="40"/>
        <v>467.83960000000002</v>
      </c>
      <c r="I385">
        <f t="shared" si="41"/>
        <v>218873.89132816001</v>
      </c>
    </row>
    <row r="386" spans="1:9" x14ac:dyDescent="0.3">
      <c r="A386">
        <v>2097170</v>
      </c>
      <c r="B386">
        <v>1458</v>
      </c>
      <c r="C386">
        <f t="shared" si="35"/>
        <v>4398122008900</v>
      </c>
      <c r="D386">
        <f t="shared" si="36"/>
        <v>3057673860</v>
      </c>
      <c r="E386">
        <f t="shared" si="37"/>
        <v>1337.0297800000001</v>
      </c>
      <c r="F386">
        <f t="shared" si="38"/>
        <v>120.97021999999993</v>
      </c>
      <c r="G386">
        <f t="shared" si="39"/>
        <v>14633.794126848383</v>
      </c>
      <c r="H386">
        <f t="shared" si="40"/>
        <v>571.83960000000002</v>
      </c>
      <c r="I386">
        <f t="shared" si="41"/>
        <v>327000.52812816005</v>
      </c>
    </row>
    <row r="387" spans="1:9" x14ac:dyDescent="0.3">
      <c r="A387">
        <v>268663</v>
      </c>
      <c r="B387">
        <v>1115</v>
      </c>
      <c r="C387">
        <f t="shared" ref="C387:C400" si="42">PRODUCT(A387,A387)</f>
        <v>72179807569</v>
      </c>
      <c r="D387">
        <f t="shared" ref="D387:D400" si="43">PRODUCT(A387,B387)</f>
        <v>299559245</v>
      </c>
      <c r="E387">
        <f t="shared" ref="E387:E400" si="44">804.3486+PRODUCT(0.000254,A387)</f>
        <v>872.58900200000005</v>
      </c>
      <c r="F387">
        <f t="shared" ref="F387:F400" si="45">B387-E387</f>
        <v>242.41099799999995</v>
      </c>
      <c r="G387">
        <f t="shared" ref="G387:G400" si="46">PRODUCT(F387,F387)</f>
        <v>58763.091951355978</v>
      </c>
      <c r="H387">
        <f t="shared" ref="H387:H400" si="47">B387-886.1604</f>
        <v>228.83960000000002</v>
      </c>
      <c r="I387">
        <f t="shared" ref="I387:I400" si="48">PRODUCT(H387,H387)</f>
        <v>52367.562528160008</v>
      </c>
    </row>
    <row r="388" spans="1:9" x14ac:dyDescent="0.3">
      <c r="A388">
        <v>201910</v>
      </c>
      <c r="B388">
        <v>447</v>
      </c>
      <c r="C388">
        <f t="shared" si="42"/>
        <v>40767648100</v>
      </c>
      <c r="D388">
        <f t="shared" si="43"/>
        <v>90253770</v>
      </c>
      <c r="E388">
        <f t="shared" si="44"/>
        <v>855.63373999999999</v>
      </c>
      <c r="F388">
        <f t="shared" si="45"/>
        <v>-408.63373999999999</v>
      </c>
      <c r="G388">
        <f t="shared" si="46"/>
        <v>166981.5334663876</v>
      </c>
      <c r="H388">
        <f t="shared" si="47"/>
        <v>-439.16039999999998</v>
      </c>
      <c r="I388">
        <f t="shared" si="48"/>
        <v>192861.85692815998</v>
      </c>
    </row>
    <row r="389" spans="1:9" x14ac:dyDescent="0.3">
      <c r="A389">
        <v>64820</v>
      </c>
      <c r="B389">
        <v>1312</v>
      </c>
      <c r="C389">
        <f t="shared" si="42"/>
        <v>4201632400</v>
      </c>
      <c r="D389">
        <f t="shared" si="43"/>
        <v>85043840</v>
      </c>
      <c r="E389">
        <f t="shared" si="44"/>
        <v>820.81288000000006</v>
      </c>
      <c r="F389">
        <f t="shared" si="45"/>
        <v>491.18711999999994</v>
      </c>
      <c r="G389">
        <f t="shared" si="46"/>
        <v>241264.78685389433</v>
      </c>
      <c r="H389">
        <f t="shared" si="47"/>
        <v>425.83960000000002</v>
      </c>
      <c r="I389">
        <f t="shared" si="48"/>
        <v>181339.36492816001</v>
      </c>
    </row>
    <row r="390" spans="1:9" x14ac:dyDescent="0.3">
      <c r="A390">
        <v>18301</v>
      </c>
      <c r="B390">
        <v>817</v>
      </c>
      <c r="C390">
        <f t="shared" si="42"/>
        <v>334926601</v>
      </c>
      <c r="D390">
        <f t="shared" si="43"/>
        <v>14951917</v>
      </c>
      <c r="E390">
        <f t="shared" si="44"/>
        <v>808.99705400000005</v>
      </c>
      <c r="F390">
        <f t="shared" si="45"/>
        <v>8.0029459999999517</v>
      </c>
      <c r="G390">
        <f t="shared" si="46"/>
        <v>64.047144678915231</v>
      </c>
      <c r="H390">
        <f t="shared" si="47"/>
        <v>-69.160399999999981</v>
      </c>
      <c r="I390">
        <f t="shared" si="48"/>
        <v>4783.1609281599976</v>
      </c>
    </row>
    <row r="391" spans="1:9" x14ac:dyDescent="0.3">
      <c r="A391">
        <v>177250</v>
      </c>
      <c r="B391">
        <v>344</v>
      </c>
      <c r="C391">
        <f t="shared" si="42"/>
        <v>31417562500</v>
      </c>
      <c r="D391">
        <f t="shared" si="43"/>
        <v>60974000</v>
      </c>
      <c r="E391">
        <f t="shared" si="44"/>
        <v>849.37009999999998</v>
      </c>
      <c r="F391">
        <f t="shared" si="45"/>
        <v>-505.37009999999998</v>
      </c>
      <c r="G391">
        <f t="shared" si="46"/>
        <v>255398.93797400998</v>
      </c>
      <c r="H391">
        <f t="shared" si="47"/>
        <v>-542.16039999999998</v>
      </c>
      <c r="I391">
        <f t="shared" si="48"/>
        <v>293937.89932815998</v>
      </c>
    </row>
    <row r="392" spans="1:9" x14ac:dyDescent="0.3">
      <c r="A392">
        <v>62102</v>
      </c>
      <c r="B392">
        <v>1249</v>
      </c>
      <c r="C392">
        <f t="shared" si="42"/>
        <v>3856658404</v>
      </c>
      <c r="D392">
        <f t="shared" si="43"/>
        <v>77565398</v>
      </c>
      <c r="E392">
        <f t="shared" si="44"/>
        <v>820.12250800000004</v>
      </c>
      <c r="F392">
        <f t="shared" si="45"/>
        <v>428.87749199999996</v>
      </c>
      <c r="G392">
        <f t="shared" si="46"/>
        <v>183935.90314421002</v>
      </c>
      <c r="H392">
        <f t="shared" si="47"/>
        <v>362.83960000000002</v>
      </c>
      <c r="I392">
        <f t="shared" si="48"/>
        <v>131652.57532816002</v>
      </c>
    </row>
    <row r="393" spans="1:9" x14ac:dyDescent="0.3">
      <c r="A393">
        <v>431027</v>
      </c>
      <c r="B393">
        <v>735</v>
      </c>
      <c r="C393">
        <f t="shared" si="42"/>
        <v>185784274729</v>
      </c>
      <c r="D393">
        <f t="shared" si="43"/>
        <v>316804845</v>
      </c>
      <c r="E393">
        <f t="shared" si="44"/>
        <v>913.82945800000005</v>
      </c>
      <c r="F393">
        <f t="shared" si="45"/>
        <v>-178.82945800000005</v>
      </c>
      <c r="G393">
        <f t="shared" si="46"/>
        <v>31979.975048573779</v>
      </c>
      <c r="H393">
        <f t="shared" si="47"/>
        <v>-151.16039999999998</v>
      </c>
      <c r="I393">
        <f t="shared" si="48"/>
        <v>22849.466528159996</v>
      </c>
    </row>
    <row r="394" spans="1:9" x14ac:dyDescent="0.3">
      <c r="A394">
        <v>48288</v>
      </c>
      <c r="B394">
        <v>840</v>
      </c>
      <c r="C394">
        <f t="shared" si="42"/>
        <v>2331730944</v>
      </c>
      <c r="D394">
        <f t="shared" si="43"/>
        <v>40561920</v>
      </c>
      <c r="E394">
        <f t="shared" si="44"/>
        <v>816.61375199999998</v>
      </c>
      <c r="F394">
        <f t="shared" si="45"/>
        <v>23.386248000000023</v>
      </c>
      <c r="G394">
        <f t="shared" si="46"/>
        <v>546.91659551750513</v>
      </c>
      <c r="H394">
        <f t="shared" si="47"/>
        <v>-46.160399999999981</v>
      </c>
      <c r="I394">
        <f t="shared" si="48"/>
        <v>2130.7825281599985</v>
      </c>
    </row>
    <row r="395" spans="1:9" x14ac:dyDescent="0.3">
      <c r="A395">
        <v>6507</v>
      </c>
      <c r="B395">
        <v>609</v>
      </c>
      <c r="C395">
        <f t="shared" si="42"/>
        <v>42341049</v>
      </c>
      <c r="D395">
        <f t="shared" si="43"/>
        <v>3962763</v>
      </c>
      <c r="E395">
        <f t="shared" si="44"/>
        <v>806.00137800000005</v>
      </c>
      <c r="F395">
        <f t="shared" si="45"/>
        <v>-197.00137800000005</v>
      </c>
      <c r="G395">
        <f t="shared" si="46"/>
        <v>38809.542933898905</v>
      </c>
      <c r="H395">
        <f t="shared" si="47"/>
        <v>-277.16039999999998</v>
      </c>
      <c r="I395">
        <f t="shared" si="48"/>
        <v>76817.887328159995</v>
      </c>
    </row>
    <row r="396" spans="1:9" x14ac:dyDescent="0.3">
      <c r="A396">
        <v>8990</v>
      </c>
      <c r="B396">
        <v>611</v>
      </c>
      <c r="C396">
        <f t="shared" si="42"/>
        <v>80820100</v>
      </c>
      <c r="D396">
        <f t="shared" si="43"/>
        <v>5492890</v>
      </c>
      <c r="E396">
        <f t="shared" si="44"/>
        <v>806.63206000000002</v>
      </c>
      <c r="F396">
        <f t="shared" si="45"/>
        <v>-195.63206000000002</v>
      </c>
      <c r="G396">
        <f t="shared" si="46"/>
        <v>38271.902899843612</v>
      </c>
      <c r="H396">
        <f t="shared" si="47"/>
        <v>-275.16039999999998</v>
      </c>
      <c r="I396">
        <f t="shared" si="48"/>
        <v>75713.245728159993</v>
      </c>
    </row>
    <row r="397" spans="1:9" x14ac:dyDescent="0.3">
      <c r="A397">
        <v>783</v>
      </c>
      <c r="B397">
        <v>822</v>
      </c>
      <c r="C397">
        <f t="shared" si="42"/>
        <v>613089</v>
      </c>
      <c r="D397">
        <f t="shared" si="43"/>
        <v>643626</v>
      </c>
      <c r="E397">
        <f t="shared" si="44"/>
        <v>804.54748200000006</v>
      </c>
      <c r="F397">
        <f t="shared" si="45"/>
        <v>17.452517999999941</v>
      </c>
      <c r="G397">
        <f t="shared" si="46"/>
        <v>304.59038454032196</v>
      </c>
      <c r="H397">
        <f t="shared" si="47"/>
        <v>-64.160399999999981</v>
      </c>
      <c r="I397">
        <f t="shared" si="48"/>
        <v>4116.5569281599974</v>
      </c>
    </row>
    <row r="398" spans="1:9" x14ac:dyDescent="0.3">
      <c r="A398">
        <v>2643542</v>
      </c>
      <c r="B398">
        <v>1400</v>
      </c>
      <c r="C398">
        <f t="shared" si="42"/>
        <v>6988314305764</v>
      </c>
      <c r="D398">
        <f t="shared" si="43"/>
        <v>3700958800</v>
      </c>
      <c r="E398">
        <f t="shared" si="44"/>
        <v>1475.808268</v>
      </c>
      <c r="F398">
        <f t="shared" si="45"/>
        <v>-75.808267999999998</v>
      </c>
      <c r="G398">
        <f t="shared" si="46"/>
        <v>5746.8934971598237</v>
      </c>
      <c r="H398">
        <f t="shared" si="47"/>
        <v>513.83960000000002</v>
      </c>
      <c r="I398">
        <f t="shared" si="48"/>
        <v>264031.13452816004</v>
      </c>
    </row>
    <row r="399" spans="1:9" x14ac:dyDescent="0.3">
      <c r="A399">
        <v>188808</v>
      </c>
      <c r="B399">
        <v>1011</v>
      </c>
      <c r="C399">
        <f t="shared" si="42"/>
        <v>35648460864</v>
      </c>
      <c r="D399">
        <f t="shared" si="43"/>
        <v>190884888</v>
      </c>
      <c r="E399">
        <f t="shared" si="44"/>
        <v>852.30583200000001</v>
      </c>
      <c r="F399">
        <f t="shared" si="45"/>
        <v>158.69416799999999</v>
      </c>
      <c r="G399">
        <f t="shared" si="46"/>
        <v>25183.838957212221</v>
      </c>
      <c r="H399">
        <f t="shared" si="47"/>
        <v>124.83960000000002</v>
      </c>
      <c r="I399">
        <f t="shared" si="48"/>
        <v>15584.925728160004</v>
      </c>
    </row>
    <row r="400" spans="1:9" x14ac:dyDescent="0.3">
      <c r="A400">
        <v>27727</v>
      </c>
      <c r="B400">
        <v>1023</v>
      </c>
      <c r="C400">
        <f t="shared" si="42"/>
        <v>768786529</v>
      </c>
      <c r="D400">
        <f t="shared" si="43"/>
        <v>28364721</v>
      </c>
      <c r="E400">
        <f t="shared" si="44"/>
        <v>811.39125799999999</v>
      </c>
      <c r="F400">
        <f t="shared" si="45"/>
        <v>211.60874200000001</v>
      </c>
      <c r="G400">
        <f t="shared" si="46"/>
        <v>44778.259690822568</v>
      </c>
      <c r="H400">
        <f t="shared" si="47"/>
        <v>136.83960000000002</v>
      </c>
      <c r="I400">
        <f t="shared" si="48"/>
        <v>18725.076128160006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C4FB-C75A-49E6-9FAA-F683ADD92E58}">
  <dimension ref="A1:P400"/>
  <sheetViews>
    <sheetView topLeftCell="A2" workbookViewId="0">
      <selection activeCell="R20" sqref="R20"/>
    </sheetView>
  </sheetViews>
  <sheetFormatPr defaultRowHeight="14.4" x14ac:dyDescent="0.3"/>
  <sheetData>
    <row r="1" spans="1:16" x14ac:dyDescent="0.3">
      <c r="A1" t="s">
        <v>3</v>
      </c>
      <c r="B1" t="s">
        <v>6</v>
      </c>
      <c r="C1" t="s">
        <v>26</v>
      </c>
      <c r="D1" t="s">
        <v>27</v>
      </c>
      <c r="E1" t="s">
        <v>17</v>
      </c>
      <c r="F1" t="s">
        <v>24</v>
      </c>
      <c r="G1" t="s">
        <v>25</v>
      </c>
      <c r="H1" t="s">
        <v>18</v>
      </c>
      <c r="I1" t="s">
        <v>19</v>
      </c>
      <c r="J1" t="s">
        <v>10</v>
      </c>
      <c r="K1" t="s">
        <v>11</v>
      </c>
      <c r="L1" t="s">
        <v>14</v>
      </c>
      <c r="M1" t="s">
        <v>12</v>
      </c>
      <c r="N1" t="s">
        <v>13</v>
      </c>
    </row>
    <row r="2" spans="1:16" x14ac:dyDescent="0.3">
      <c r="A2">
        <v>15.4</v>
      </c>
      <c r="B2">
        <v>1060</v>
      </c>
      <c r="C2">
        <f>PRODUCT(A2,A2)</f>
        <v>237.16000000000003</v>
      </c>
      <c r="D2">
        <f>PRODUCT(A2,B2)</f>
        <v>16324</v>
      </c>
      <c r="E2">
        <f>503.5329+PRODUCT(21.10428,A2)</f>
        <v>828.53881200000001</v>
      </c>
      <c r="F2">
        <f>B2-E2</f>
        <v>231.46118799999999</v>
      </c>
      <c r="G2">
        <f>PRODUCT(F2,F2)</f>
        <v>53574.281550371343</v>
      </c>
      <c r="H2">
        <f>B2-886.1604</f>
        <v>173.83960000000002</v>
      </c>
      <c r="I2">
        <f>PRODUCT(H2,H2)</f>
        <v>30220.206528160008</v>
      </c>
      <c r="J2">
        <f>SUM(A2:A400)/COUNT(A2:A400)</f>
        <v>18.130325814536352</v>
      </c>
      <c r="K2">
        <f>SUM(B2:B400)/COUNT(B2:B400)</f>
        <v>886.16040100250632</v>
      </c>
      <c r="L2">
        <f>SUM(C2:C400)/COUNT(C2:C400)</f>
        <v>467.38401002506305</v>
      </c>
      <c r="M2">
        <f>SUM(D2:D400)/COUNT(D2:D400)</f>
        <v>18993.019047619044</v>
      </c>
      <c r="N2">
        <f>PRODUCT(J2,J2)</f>
        <v>328.70871414124326</v>
      </c>
    </row>
    <row r="3" spans="1:16" x14ac:dyDescent="0.3">
      <c r="A3">
        <v>7.9</v>
      </c>
      <c r="B3">
        <v>691</v>
      </c>
      <c r="C3">
        <f t="shared" ref="C3:C66" si="0">PRODUCT(A3,A3)</f>
        <v>62.410000000000004</v>
      </c>
      <c r="D3">
        <f t="shared" ref="D3:D66" si="1">PRODUCT(A3,B3)</f>
        <v>5458.9000000000005</v>
      </c>
      <c r="E3">
        <f t="shared" ref="E3:E66" si="2">503.5329+PRODUCT(21.10428,A3)</f>
        <v>670.25671199999999</v>
      </c>
      <c r="F3">
        <f t="shared" ref="F3:F66" si="3">B3-E3</f>
        <v>20.743288000000007</v>
      </c>
      <c r="G3">
        <f t="shared" ref="G3:G66" si="4">PRODUCT(F3,F3)</f>
        <v>430.28399705094427</v>
      </c>
      <c r="H3">
        <f t="shared" ref="H3:H66" si="5">B3-886.1604</f>
        <v>-195.16039999999998</v>
      </c>
      <c r="I3">
        <f t="shared" ref="I3:I66" si="6">PRODUCT(H3,H3)</f>
        <v>38087.581728159996</v>
      </c>
    </row>
    <row r="4" spans="1:16" x14ac:dyDescent="0.3">
      <c r="A4">
        <v>6.6</v>
      </c>
      <c r="B4">
        <v>589</v>
      </c>
      <c r="C4">
        <f t="shared" si="0"/>
        <v>43.559999999999995</v>
      </c>
      <c r="D4">
        <f t="shared" si="1"/>
        <v>3887.3999999999996</v>
      </c>
      <c r="E4">
        <f t="shared" si="2"/>
        <v>642.82114799999999</v>
      </c>
      <c r="F4">
        <f t="shared" si="3"/>
        <v>-53.821147999999994</v>
      </c>
      <c r="G4">
        <f t="shared" si="4"/>
        <v>2896.7159720379032</v>
      </c>
      <c r="H4">
        <f t="shared" si="5"/>
        <v>-297.16039999999998</v>
      </c>
      <c r="I4">
        <f t="shared" si="6"/>
        <v>88304.303328159993</v>
      </c>
    </row>
    <row r="5" spans="1:16" x14ac:dyDescent="0.3">
      <c r="A5">
        <v>21.1</v>
      </c>
      <c r="B5">
        <v>692</v>
      </c>
      <c r="C5">
        <f t="shared" si="0"/>
        <v>445.21000000000004</v>
      </c>
      <c r="D5">
        <f t="shared" si="1"/>
        <v>14601.2</v>
      </c>
      <c r="E5">
        <f t="shared" si="2"/>
        <v>948.83320800000001</v>
      </c>
      <c r="F5">
        <f t="shared" si="3"/>
        <v>-256.83320800000001</v>
      </c>
      <c r="G5">
        <f t="shared" si="4"/>
        <v>65963.296731571274</v>
      </c>
      <c r="H5">
        <f t="shared" si="5"/>
        <v>-194.16039999999998</v>
      </c>
      <c r="I5">
        <f t="shared" si="6"/>
        <v>37698.260928159994</v>
      </c>
    </row>
    <row r="6" spans="1:16" x14ac:dyDescent="0.3">
      <c r="A6">
        <v>8</v>
      </c>
      <c r="B6">
        <v>741</v>
      </c>
      <c r="C6">
        <f t="shared" si="0"/>
        <v>64</v>
      </c>
      <c r="D6">
        <f t="shared" si="1"/>
        <v>5928</v>
      </c>
      <c r="E6">
        <f t="shared" si="2"/>
        <v>672.36713999999995</v>
      </c>
      <c r="F6">
        <f t="shared" si="3"/>
        <v>68.632860000000051</v>
      </c>
      <c r="G6">
        <f t="shared" si="4"/>
        <v>4710.4694717796074</v>
      </c>
      <c r="H6">
        <f t="shared" si="5"/>
        <v>-145.16039999999998</v>
      </c>
      <c r="I6">
        <f t="shared" si="6"/>
        <v>21071.541728159995</v>
      </c>
    </row>
    <row r="7" spans="1:16" x14ac:dyDescent="0.3">
      <c r="A7">
        <v>9.1</v>
      </c>
      <c r="B7">
        <v>684</v>
      </c>
      <c r="C7">
        <f t="shared" si="0"/>
        <v>82.809999999999988</v>
      </c>
      <c r="D7">
        <f t="shared" si="1"/>
        <v>6224.4</v>
      </c>
      <c r="E7">
        <f t="shared" si="2"/>
        <v>695.58184800000004</v>
      </c>
      <c r="F7">
        <f t="shared" si="3"/>
        <v>-11.581848000000036</v>
      </c>
      <c r="G7">
        <f t="shared" si="4"/>
        <v>134.13920309510485</v>
      </c>
      <c r="H7">
        <f t="shared" si="5"/>
        <v>-202.16039999999998</v>
      </c>
      <c r="I7">
        <f t="shared" si="6"/>
        <v>40868.82732815999</v>
      </c>
    </row>
    <row r="8" spans="1:16" x14ac:dyDescent="0.3">
      <c r="A8">
        <v>13</v>
      </c>
      <c r="B8">
        <v>1046</v>
      </c>
      <c r="C8">
        <f t="shared" si="0"/>
        <v>169</v>
      </c>
      <c r="D8">
        <f t="shared" si="1"/>
        <v>13598</v>
      </c>
      <c r="E8">
        <f t="shared" si="2"/>
        <v>777.88853999999992</v>
      </c>
      <c r="F8">
        <f t="shared" si="3"/>
        <v>268.11146000000008</v>
      </c>
      <c r="G8">
        <f t="shared" si="4"/>
        <v>71883.754983331644</v>
      </c>
      <c r="H8">
        <f t="shared" si="5"/>
        <v>159.83960000000002</v>
      </c>
      <c r="I8">
        <f t="shared" si="6"/>
        <v>25548.697728160005</v>
      </c>
      <c r="J8" t="s">
        <v>22</v>
      </c>
      <c r="K8" t="s">
        <v>23</v>
      </c>
    </row>
    <row r="9" spans="1:16" x14ac:dyDescent="0.3">
      <c r="A9">
        <v>25.3</v>
      </c>
      <c r="B9">
        <v>624</v>
      </c>
      <c r="C9">
        <f t="shared" si="0"/>
        <v>640.09</v>
      </c>
      <c r="D9">
        <f t="shared" si="1"/>
        <v>15787.2</v>
      </c>
      <c r="E9">
        <f t="shared" si="2"/>
        <v>1037.471184</v>
      </c>
      <c r="F9">
        <f t="shared" si="3"/>
        <v>-413.47118399999999</v>
      </c>
      <c r="G9">
        <f t="shared" si="4"/>
        <v>170958.41999836185</v>
      </c>
      <c r="H9">
        <f t="shared" si="5"/>
        <v>-262.16039999999998</v>
      </c>
      <c r="I9">
        <f t="shared" si="6"/>
        <v>68728.07532815999</v>
      </c>
      <c r="J9">
        <f>(M2-PRODUCT(J2,K2))/(L2-N2)</f>
        <v>21.104279856415939</v>
      </c>
      <c r="K9">
        <f>K2-PRODUCT(J9,J2)</f>
        <v>503.53293112452889</v>
      </c>
      <c r="N9" t="s">
        <v>20</v>
      </c>
      <c r="O9" t="s">
        <v>21</v>
      </c>
      <c r="P9" s="1">
        <v>2</v>
      </c>
    </row>
    <row r="10" spans="1:16" x14ac:dyDescent="0.3">
      <c r="A10">
        <v>17.5</v>
      </c>
      <c r="B10">
        <v>812</v>
      </c>
      <c r="C10">
        <f t="shared" si="0"/>
        <v>306.25</v>
      </c>
      <c r="D10">
        <f t="shared" si="1"/>
        <v>14210</v>
      </c>
      <c r="E10">
        <f t="shared" si="2"/>
        <v>872.8578</v>
      </c>
      <c r="F10">
        <f t="shared" si="3"/>
        <v>-60.857799999999997</v>
      </c>
      <c r="G10">
        <f t="shared" si="4"/>
        <v>3703.6718208399998</v>
      </c>
      <c r="H10">
        <f t="shared" si="5"/>
        <v>-74.160399999999981</v>
      </c>
      <c r="I10">
        <f t="shared" si="6"/>
        <v>5499.764928159997</v>
      </c>
      <c r="N10">
        <f>SUM(G2:G400)</f>
        <v>24559285.548474293</v>
      </c>
      <c r="O10">
        <f>SUM(I2:I400)</f>
        <v>49203391.734335825</v>
      </c>
      <c r="P10">
        <f>1-(N10/O10)</f>
        <v>0.50086193892735298</v>
      </c>
    </row>
    <row r="11" spans="1:16" x14ac:dyDescent="0.3">
      <c r="A11">
        <v>6.9</v>
      </c>
      <c r="B11">
        <v>816</v>
      </c>
      <c r="C11">
        <f t="shared" si="0"/>
        <v>47.610000000000007</v>
      </c>
      <c r="D11">
        <f t="shared" si="1"/>
        <v>5630.4000000000005</v>
      </c>
      <c r="E11">
        <f t="shared" si="2"/>
        <v>649.15243199999998</v>
      </c>
      <c r="F11">
        <f t="shared" si="3"/>
        <v>166.84756800000002</v>
      </c>
      <c r="G11">
        <f t="shared" si="4"/>
        <v>27838.110947514633</v>
      </c>
      <c r="H11">
        <f t="shared" si="5"/>
        <v>-70.160399999999981</v>
      </c>
      <c r="I11">
        <f t="shared" si="6"/>
        <v>4922.4817281599971</v>
      </c>
    </row>
    <row r="12" spans="1:16" x14ac:dyDescent="0.3">
      <c r="A12">
        <v>31.6</v>
      </c>
      <c r="B12">
        <v>1460</v>
      </c>
      <c r="C12">
        <f t="shared" si="0"/>
        <v>998.56000000000006</v>
      </c>
      <c r="D12">
        <f t="shared" si="1"/>
        <v>46136</v>
      </c>
      <c r="E12">
        <f t="shared" si="2"/>
        <v>1170.428148</v>
      </c>
      <c r="F12">
        <f t="shared" si="3"/>
        <v>289.57185200000004</v>
      </c>
      <c r="G12">
        <f t="shared" si="4"/>
        <v>83851.857470709918</v>
      </c>
      <c r="H12">
        <f t="shared" si="5"/>
        <v>573.83960000000002</v>
      </c>
      <c r="I12">
        <f t="shared" si="6"/>
        <v>329291.88652816002</v>
      </c>
    </row>
    <row r="13" spans="1:16" x14ac:dyDescent="0.3">
      <c r="A13">
        <v>15.2</v>
      </c>
      <c r="B13">
        <v>772</v>
      </c>
      <c r="C13">
        <f t="shared" si="0"/>
        <v>231.04</v>
      </c>
      <c r="D13">
        <f t="shared" si="1"/>
        <v>11734.4</v>
      </c>
      <c r="E13">
        <f t="shared" si="2"/>
        <v>824.31795599999998</v>
      </c>
      <c r="F13">
        <f t="shared" si="3"/>
        <v>-52.317955999999981</v>
      </c>
      <c r="G13">
        <f t="shared" si="4"/>
        <v>2737.168520017934</v>
      </c>
      <c r="H13">
        <f t="shared" si="5"/>
        <v>-114.16039999999998</v>
      </c>
      <c r="I13">
        <f t="shared" si="6"/>
        <v>13032.596928159996</v>
      </c>
    </row>
    <row r="14" spans="1:16" x14ac:dyDescent="0.3">
      <c r="A14">
        <v>30.7</v>
      </c>
      <c r="B14">
        <v>1541</v>
      </c>
      <c r="C14">
        <f t="shared" si="0"/>
        <v>942.49</v>
      </c>
      <c r="D14">
        <f t="shared" si="1"/>
        <v>47308.7</v>
      </c>
      <c r="E14">
        <f t="shared" si="2"/>
        <v>1151.4342959999999</v>
      </c>
      <c r="F14">
        <f t="shared" si="3"/>
        <v>389.5657040000001</v>
      </c>
      <c r="G14">
        <f t="shared" si="4"/>
        <v>151761.43773301569</v>
      </c>
      <c r="H14">
        <f t="shared" si="5"/>
        <v>654.83960000000002</v>
      </c>
      <c r="I14">
        <f t="shared" si="6"/>
        <v>428814.90172816004</v>
      </c>
    </row>
    <row r="15" spans="1:16" x14ac:dyDescent="0.3">
      <c r="A15">
        <v>14.2</v>
      </c>
      <c r="B15">
        <v>493</v>
      </c>
      <c r="C15">
        <f t="shared" si="0"/>
        <v>201.64</v>
      </c>
      <c r="D15">
        <f t="shared" si="1"/>
        <v>7000.5999999999995</v>
      </c>
      <c r="E15">
        <f t="shared" si="2"/>
        <v>803.21367599999996</v>
      </c>
      <c r="F15">
        <f t="shared" si="3"/>
        <v>-310.21367599999996</v>
      </c>
      <c r="G15">
        <f t="shared" si="4"/>
        <v>96232.524777432947</v>
      </c>
      <c r="H15">
        <f t="shared" si="5"/>
        <v>-393.16039999999998</v>
      </c>
      <c r="I15">
        <f t="shared" si="6"/>
        <v>154575.10012815997</v>
      </c>
    </row>
    <row r="16" spans="1:16" x14ac:dyDescent="0.3">
      <c r="A16">
        <v>7.5</v>
      </c>
      <c r="B16">
        <v>644</v>
      </c>
      <c r="C16">
        <f t="shared" si="0"/>
        <v>56.25</v>
      </c>
      <c r="D16">
        <f t="shared" si="1"/>
        <v>4830</v>
      </c>
      <c r="E16">
        <f t="shared" si="2"/>
        <v>661.81499999999994</v>
      </c>
      <c r="F16">
        <f t="shared" si="3"/>
        <v>-17.814999999999941</v>
      </c>
      <c r="G16">
        <f t="shared" si="4"/>
        <v>317.37422499999792</v>
      </c>
      <c r="H16">
        <f t="shared" si="5"/>
        <v>-242.16039999999998</v>
      </c>
      <c r="I16">
        <f t="shared" si="6"/>
        <v>58641.659328159993</v>
      </c>
    </row>
    <row r="17" spans="1:9" x14ac:dyDescent="0.3">
      <c r="A17">
        <v>50.8</v>
      </c>
      <c r="B17">
        <v>1738</v>
      </c>
      <c r="C17">
        <f t="shared" si="0"/>
        <v>2580.64</v>
      </c>
      <c r="D17">
        <f t="shared" si="1"/>
        <v>88290.4</v>
      </c>
      <c r="E17">
        <f t="shared" si="2"/>
        <v>1575.6303239999997</v>
      </c>
      <c r="F17">
        <f t="shared" si="3"/>
        <v>162.36967600000025</v>
      </c>
      <c r="G17">
        <f t="shared" si="4"/>
        <v>26363.911684345057</v>
      </c>
      <c r="H17">
        <f t="shared" si="5"/>
        <v>851.83960000000002</v>
      </c>
      <c r="I17">
        <f t="shared" si="6"/>
        <v>725630.70412816002</v>
      </c>
    </row>
    <row r="18" spans="1:9" x14ac:dyDescent="0.3">
      <c r="A18">
        <v>16.3</v>
      </c>
      <c r="B18">
        <v>618</v>
      </c>
      <c r="C18">
        <f t="shared" si="0"/>
        <v>265.69</v>
      </c>
      <c r="D18">
        <f t="shared" si="1"/>
        <v>10073.4</v>
      </c>
      <c r="E18">
        <f t="shared" si="2"/>
        <v>847.53266400000007</v>
      </c>
      <c r="F18">
        <f t="shared" si="3"/>
        <v>-229.53266400000007</v>
      </c>
      <c r="G18">
        <f t="shared" si="4"/>
        <v>52685.243842936929</v>
      </c>
      <c r="H18">
        <f t="shared" si="5"/>
        <v>-268.16039999999998</v>
      </c>
      <c r="I18">
        <f t="shared" si="6"/>
        <v>71910.000128159983</v>
      </c>
    </row>
    <row r="19" spans="1:9" x14ac:dyDescent="0.3">
      <c r="A19">
        <v>24.9</v>
      </c>
      <c r="B19">
        <v>1415</v>
      </c>
      <c r="C19">
        <f t="shared" si="0"/>
        <v>620.00999999999988</v>
      </c>
      <c r="D19">
        <f t="shared" si="1"/>
        <v>35233.5</v>
      </c>
      <c r="E19">
        <f t="shared" si="2"/>
        <v>1029.0294719999999</v>
      </c>
      <c r="F19">
        <f t="shared" si="3"/>
        <v>385.97052800000006</v>
      </c>
      <c r="G19">
        <f t="shared" si="4"/>
        <v>148973.24848459882</v>
      </c>
      <c r="H19">
        <f t="shared" si="5"/>
        <v>528.83960000000002</v>
      </c>
      <c r="I19">
        <f t="shared" si="6"/>
        <v>279671.32252816</v>
      </c>
    </row>
    <row r="20" spans="1:9" x14ac:dyDescent="0.3">
      <c r="A20">
        <v>10.9</v>
      </c>
      <c r="B20">
        <v>753</v>
      </c>
      <c r="C20">
        <f t="shared" si="0"/>
        <v>118.81</v>
      </c>
      <c r="D20">
        <f t="shared" si="1"/>
        <v>8207.7000000000007</v>
      </c>
      <c r="E20">
        <f t="shared" si="2"/>
        <v>733.56955199999993</v>
      </c>
      <c r="F20">
        <f t="shared" si="3"/>
        <v>19.430448000000069</v>
      </c>
      <c r="G20">
        <f t="shared" si="4"/>
        <v>377.54230948070671</v>
      </c>
      <c r="H20">
        <f t="shared" si="5"/>
        <v>-133.16039999999998</v>
      </c>
      <c r="I20">
        <f t="shared" si="6"/>
        <v>17731.692128159993</v>
      </c>
    </row>
    <row r="21" spans="1:9" x14ac:dyDescent="0.3">
      <c r="A21">
        <v>32.5</v>
      </c>
      <c r="B21">
        <v>1212</v>
      </c>
      <c r="C21">
        <f t="shared" si="0"/>
        <v>1056.25</v>
      </c>
      <c r="D21">
        <f t="shared" si="1"/>
        <v>39390</v>
      </c>
      <c r="E21">
        <f t="shared" si="2"/>
        <v>1189.422</v>
      </c>
      <c r="F21">
        <f t="shared" si="3"/>
        <v>22.577999999999975</v>
      </c>
      <c r="G21">
        <f t="shared" si="4"/>
        <v>509.76608399999884</v>
      </c>
      <c r="H21">
        <f t="shared" si="5"/>
        <v>325.83960000000002</v>
      </c>
      <c r="I21">
        <f t="shared" si="6"/>
        <v>106171.44492816001</v>
      </c>
    </row>
    <row r="22" spans="1:9" x14ac:dyDescent="0.3">
      <c r="A22">
        <v>21.9</v>
      </c>
      <c r="B22">
        <v>578</v>
      </c>
      <c r="C22">
        <f t="shared" si="0"/>
        <v>479.60999999999996</v>
      </c>
      <c r="D22">
        <f t="shared" si="1"/>
        <v>12658.199999999999</v>
      </c>
      <c r="E22">
        <f t="shared" si="2"/>
        <v>965.71663199999989</v>
      </c>
      <c r="F22">
        <f t="shared" si="3"/>
        <v>-387.71663199999989</v>
      </c>
      <c r="G22">
        <f t="shared" si="4"/>
        <v>150324.18672942335</v>
      </c>
      <c r="H22">
        <f t="shared" si="5"/>
        <v>-308.16039999999998</v>
      </c>
      <c r="I22">
        <f t="shared" si="6"/>
        <v>94962.832128159993</v>
      </c>
    </row>
    <row r="23" spans="1:9" x14ac:dyDescent="0.3">
      <c r="A23">
        <v>9.1999999999999993</v>
      </c>
      <c r="B23">
        <v>777</v>
      </c>
      <c r="C23">
        <f t="shared" si="0"/>
        <v>84.639999999999986</v>
      </c>
      <c r="D23">
        <f t="shared" si="1"/>
        <v>7148.4</v>
      </c>
      <c r="E23">
        <f t="shared" si="2"/>
        <v>697.69227599999999</v>
      </c>
      <c r="F23">
        <f t="shared" si="3"/>
        <v>79.307724000000007</v>
      </c>
      <c r="G23">
        <f t="shared" si="4"/>
        <v>6289.7150860601769</v>
      </c>
      <c r="H23">
        <f t="shared" si="5"/>
        <v>-109.16039999999998</v>
      </c>
      <c r="I23">
        <f t="shared" si="6"/>
        <v>11915.992928159996</v>
      </c>
    </row>
    <row r="24" spans="1:9" x14ac:dyDescent="0.3">
      <c r="A24">
        <v>54.9</v>
      </c>
      <c r="B24">
        <v>1732</v>
      </c>
      <c r="C24">
        <f t="shared" si="0"/>
        <v>3014.0099999999998</v>
      </c>
      <c r="D24">
        <f t="shared" si="1"/>
        <v>95086.8</v>
      </c>
      <c r="E24">
        <f t="shared" si="2"/>
        <v>1662.1578719999998</v>
      </c>
      <c r="F24">
        <f t="shared" si="3"/>
        <v>69.84212800000023</v>
      </c>
      <c r="G24">
        <f t="shared" si="4"/>
        <v>4877.9228435684163</v>
      </c>
      <c r="H24">
        <f t="shared" si="5"/>
        <v>845.83960000000002</v>
      </c>
      <c r="I24">
        <f t="shared" si="6"/>
        <v>715444.62892816006</v>
      </c>
    </row>
    <row r="25" spans="1:9" x14ac:dyDescent="0.3">
      <c r="A25">
        <v>14.7</v>
      </c>
      <c r="B25">
        <v>664</v>
      </c>
      <c r="C25">
        <f t="shared" si="0"/>
        <v>216.08999999999997</v>
      </c>
      <c r="D25">
        <f t="shared" si="1"/>
        <v>9760.7999999999993</v>
      </c>
      <c r="E25">
        <f t="shared" si="2"/>
        <v>813.76581599999997</v>
      </c>
      <c r="F25">
        <f t="shared" si="3"/>
        <v>-149.76581599999997</v>
      </c>
      <c r="G25">
        <f t="shared" si="4"/>
        <v>22429.799642145848</v>
      </c>
      <c r="H25">
        <f t="shared" si="5"/>
        <v>-222.16039999999998</v>
      </c>
      <c r="I25">
        <f t="shared" si="6"/>
        <v>49355.243328159995</v>
      </c>
    </row>
    <row r="26" spans="1:9" x14ac:dyDescent="0.3">
      <c r="A26">
        <v>16.2</v>
      </c>
      <c r="B26">
        <v>858</v>
      </c>
      <c r="C26">
        <f t="shared" si="0"/>
        <v>262.44</v>
      </c>
      <c r="D26">
        <f t="shared" si="1"/>
        <v>13899.599999999999</v>
      </c>
      <c r="E26">
        <f t="shared" si="2"/>
        <v>845.42223599999988</v>
      </c>
      <c r="F26">
        <f t="shared" si="3"/>
        <v>12.577764000000116</v>
      </c>
      <c r="G26">
        <f t="shared" si="4"/>
        <v>158.20014723969891</v>
      </c>
      <c r="H26">
        <f t="shared" si="5"/>
        <v>-28.160399999999981</v>
      </c>
      <c r="I26">
        <f t="shared" si="6"/>
        <v>793.00812815999893</v>
      </c>
    </row>
    <row r="27" spans="1:9" x14ac:dyDescent="0.3">
      <c r="A27">
        <v>33.700000000000003</v>
      </c>
      <c r="B27">
        <v>1092</v>
      </c>
      <c r="C27">
        <f t="shared" si="0"/>
        <v>1135.6900000000003</v>
      </c>
      <c r="D27">
        <f t="shared" si="1"/>
        <v>36800.400000000001</v>
      </c>
      <c r="E27">
        <f t="shared" si="2"/>
        <v>1214.747136</v>
      </c>
      <c r="F27">
        <f t="shared" si="3"/>
        <v>-122.74713599999995</v>
      </c>
      <c r="G27">
        <f t="shared" si="4"/>
        <v>15066.859396202484</v>
      </c>
      <c r="H27">
        <f t="shared" si="5"/>
        <v>205.83960000000002</v>
      </c>
      <c r="I27">
        <f t="shared" si="6"/>
        <v>42369.940928160009</v>
      </c>
    </row>
    <row r="28" spans="1:9" x14ac:dyDescent="0.3">
      <c r="A28">
        <v>29.5</v>
      </c>
      <c r="B28">
        <v>749</v>
      </c>
      <c r="C28">
        <f t="shared" si="0"/>
        <v>870.25</v>
      </c>
      <c r="D28">
        <f t="shared" si="1"/>
        <v>22095.5</v>
      </c>
      <c r="E28">
        <f t="shared" si="2"/>
        <v>1126.10916</v>
      </c>
      <c r="F28">
        <f t="shared" si="3"/>
        <v>-377.10915999999997</v>
      </c>
      <c r="G28">
        <f t="shared" si="4"/>
        <v>142211.31855590557</v>
      </c>
      <c r="H28">
        <f t="shared" si="5"/>
        <v>-137.16039999999998</v>
      </c>
      <c r="I28">
        <f t="shared" si="6"/>
        <v>18812.975328159995</v>
      </c>
    </row>
    <row r="29" spans="1:9" x14ac:dyDescent="0.3">
      <c r="A29">
        <v>25.6</v>
      </c>
      <c r="B29">
        <v>1136</v>
      </c>
      <c r="C29">
        <f t="shared" si="0"/>
        <v>655.36000000000013</v>
      </c>
      <c r="D29">
        <f t="shared" si="1"/>
        <v>29081.600000000002</v>
      </c>
      <c r="E29">
        <f t="shared" si="2"/>
        <v>1043.8024680000001</v>
      </c>
      <c r="F29">
        <f t="shared" si="3"/>
        <v>92.19753199999991</v>
      </c>
      <c r="G29">
        <f t="shared" si="4"/>
        <v>8500.3849068910076</v>
      </c>
      <c r="H29">
        <f t="shared" si="5"/>
        <v>249.83960000000002</v>
      </c>
      <c r="I29">
        <f t="shared" si="6"/>
        <v>62419.825728160009</v>
      </c>
    </row>
    <row r="30" spans="1:9" x14ac:dyDescent="0.3">
      <c r="A30">
        <v>11.1</v>
      </c>
      <c r="B30">
        <v>1097</v>
      </c>
      <c r="C30">
        <f t="shared" si="0"/>
        <v>123.21</v>
      </c>
      <c r="D30">
        <f t="shared" si="1"/>
        <v>12176.699999999999</v>
      </c>
      <c r="E30">
        <f t="shared" si="2"/>
        <v>737.79040799999996</v>
      </c>
      <c r="F30">
        <f t="shared" si="3"/>
        <v>359.20959200000004</v>
      </c>
      <c r="G30">
        <f t="shared" si="4"/>
        <v>129031.53098480649</v>
      </c>
      <c r="H30">
        <f t="shared" si="5"/>
        <v>210.83960000000002</v>
      </c>
      <c r="I30">
        <f t="shared" si="6"/>
        <v>44453.33692816001</v>
      </c>
    </row>
    <row r="31" spans="1:9" x14ac:dyDescent="0.3">
      <c r="A31">
        <v>34.1</v>
      </c>
      <c r="B31">
        <v>926</v>
      </c>
      <c r="C31">
        <f t="shared" si="0"/>
        <v>1162.8100000000002</v>
      </c>
      <c r="D31">
        <f t="shared" si="1"/>
        <v>31576.600000000002</v>
      </c>
      <c r="E31">
        <f t="shared" si="2"/>
        <v>1223.188848</v>
      </c>
      <c r="F31">
        <f t="shared" si="3"/>
        <v>-297.18884800000001</v>
      </c>
      <c r="G31">
        <f t="shared" si="4"/>
        <v>88321.211375567102</v>
      </c>
      <c r="H31">
        <f t="shared" si="5"/>
        <v>39.839600000000019</v>
      </c>
      <c r="I31">
        <f t="shared" si="6"/>
        <v>1587.1937281600015</v>
      </c>
    </row>
    <row r="32" spans="1:9" x14ac:dyDescent="0.3">
      <c r="A32">
        <v>14.9</v>
      </c>
      <c r="B32">
        <v>890</v>
      </c>
      <c r="C32">
        <f t="shared" si="0"/>
        <v>222.01000000000002</v>
      </c>
      <c r="D32">
        <f t="shared" si="1"/>
        <v>13261</v>
      </c>
      <c r="E32">
        <f t="shared" si="2"/>
        <v>817.986672</v>
      </c>
      <c r="F32">
        <f t="shared" si="3"/>
        <v>72.013328000000001</v>
      </c>
      <c r="G32">
        <f t="shared" si="4"/>
        <v>5185.9194096355841</v>
      </c>
      <c r="H32">
        <f t="shared" si="5"/>
        <v>3.8396000000000186</v>
      </c>
      <c r="I32">
        <f t="shared" si="6"/>
        <v>14.742528160000143</v>
      </c>
    </row>
    <row r="33" spans="1:9" x14ac:dyDescent="0.3">
      <c r="A33">
        <v>17.899999999999999</v>
      </c>
      <c r="B33">
        <v>500</v>
      </c>
      <c r="C33">
        <f t="shared" si="0"/>
        <v>320.40999999999997</v>
      </c>
      <c r="D33">
        <f t="shared" si="1"/>
        <v>8950</v>
      </c>
      <c r="E33">
        <f t="shared" si="2"/>
        <v>881.29951199999994</v>
      </c>
      <c r="F33">
        <f t="shared" si="3"/>
        <v>-381.29951199999994</v>
      </c>
      <c r="G33">
        <f t="shared" si="4"/>
        <v>145389.3178514381</v>
      </c>
      <c r="H33">
        <f t="shared" si="5"/>
        <v>-386.16039999999998</v>
      </c>
      <c r="I33">
        <f t="shared" si="6"/>
        <v>149119.85452815998</v>
      </c>
    </row>
    <row r="34" spans="1:9" x14ac:dyDescent="0.3">
      <c r="A34">
        <v>5</v>
      </c>
      <c r="B34">
        <v>908</v>
      </c>
      <c r="C34">
        <f t="shared" si="0"/>
        <v>25</v>
      </c>
      <c r="D34">
        <f t="shared" si="1"/>
        <v>4540</v>
      </c>
      <c r="E34">
        <f t="shared" si="2"/>
        <v>609.05430000000001</v>
      </c>
      <c r="F34">
        <f t="shared" si="3"/>
        <v>298.94569999999999</v>
      </c>
      <c r="G34">
        <f t="shared" si="4"/>
        <v>89368.531548489991</v>
      </c>
      <c r="H34">
        <f t="shared" si="5"/>
        <v>21.839600000000019</v>
      </c>
      <c r="I34">
        <f t="shared" si="6"/>
        <v>476.96812816000079</v>
      </c>
    </row>
    <row r="35" spans="1:9" x14ac:dyDescent="0.3">
      <c r="A35">
        <v>13.3</v>
      </c>
      <c r="B35">
        <v>636</v>
      </c>
      <c r="C35">
        <f t="shared" si="0"/>
        <v>176.89000000000001</v>
      </c>
      <c r="D35">
        <f t="shared" si="1"/>
        <v>8458.8000000000011</v>
      </c>
      <c r="E35">
        <f t="shared" si="2"/>
        <v>784.21982400000002</v>
      </c>
      <c r="F35">
        <f t="shared" si="3"/>
        <v>-148.21982400000002</v>
      </c>
      <c r="G35">
        <f t="shared" si="4"/>
        <v>21969.116226590981</v>
      </c>
      <c r="H35">
        <f t="shared" si="5"/>
        <v>-250.16039999999998</v>
      </c>
      <c r="I35">
        <f t="shared" si="6"/>
        <v>62580.225728159989</v>
      </c>
    </row>
    <row r="36" spans="1:9" x14ac:dyDescent="0.3">
      <c r="A36">
        <v>11.6</v>
      </c>
      <c r="B36">
        <v>606</v>
      </c>
      <c r="C36">
        <f t="shared" si="0"/>
        <v>134.56</v>
      </c>
      <c r="D36">
        <f t="shared" si="1"/>
        <v>7029.5999999999995</v>
      </c>
      <c r="E36">
        <f t="shared" si="2"/>
        <v>748.34254799999997</v>
      </c>
      <c r="F36">
        <f t="shared" si="3"/>
        <v>-142.34254799999997</v>
      </c>
      <c r="G36">
        <f t="shared" si="4"/>
        <v>20261.400971132294</v>
      </c>
      <c r="H36">
        <f t="shared" si="5"/>
        <v>-280.16039999999998</v>
      </c>
      <c r="I36">
        <f t="shared" si="6"/>
        <v>78489.849728159985</v>
      </c>
    </row>
    <row r="37" spans="1:9" x14ac:dyDescent="0.3">
      <c r="A37">
        <v>6.6</v>
      </c>
      <c r="B37">
        <v>919</v>
      </c>
      <c r="C37">
        <f t="shared" si="0"/>
        <v>43.559999999999995</v>
      </c>
      <c r="D37">
        <f t="shared" si="1"/>
        <v>6065.4</v>
      </c>
      <c r="E37">
        <f t="shared" si="2"/>
        <v>642.82114799999999</v>
      </c>
      <c r="F37">
        <f t="shared" si="3"/>
        <v>276.17885200000001</v>
      </c>
      <c r="G37">
        <f t="shared" si="4"/>
        <v>76274.758292037906</v>
      </c>
      <c r="H37">
        <f t="shared" si="5"/>
        <v>32.839600000000019</v>
      </c>
      <c r="I37">
        <f t="shared" si="6"/>
        <v>1078.4393281600012</v>
      </c>
    </row>
    <row r="38" spans="1:9" x14ac:dyDescent="0.3">
      <c r="A38">
        <v>26.2</v>
      </c>
      <c r="B38">
        <v>1240</v>
      </c>
      <c r="C38">
        <f t="shared" si="0"/>
        <v>686.43999999999994</v>
      </c>
      <c r="D38">
        <f t="shared" si="1"/>
        <v>32488</v>
      </c>
      <c r="E38">
        <f t="shared" si="2"/>
        <v>1056.4650360000001</v>
      </c>
      <c r="F38">
        <f t="shared" si="3"/>
        <v>183.53496399999995</v>
      </c>
      <c r="G38">
        <f t="shared" si="4"/>
        <v>33685.083010481278</v>
      </c>
      <c r="H38">
        <f t="shared" si="5"/>
        <v>353.83960000000002</v>
      </c>
      <c r="I38">
        <f t="shared" si="6"/>
        <v>125202.46252816002</v>
      </c>
    </row>
    <row r="39" spans="1:9" x14ac:dyDescent="0.3">
      <c r="A39">
        <v>9.8000000000000007</v>
      </c>
      <c r="B39">
        <v>518</v>
      </c>
      <c r="C39">
        <f t="shared" si="0"/>
        <v>96.04000000000002</v>
      </c>
      <c r="D39">
        <f t="shared" si="1"/>
        <v>5076.4000000000005</v>
      </c>
      <c r="E39">
        <f t="shared" si="2"/>
        <v>710.35484399999996</v>
      </c>
      <c r="F39">
        <f t="shared" si="3"/>
        <v>-192.35484399999996</v>
      </c>
      <c r="G39">
        <f t="shared" si="4"/>
        <v>37000.386010264323</v>
      </c>
      <c r="H39">
        <f t="shared" si="5"/>
        <v>-368.16039999999998</v>
      </c>
      <c r="I39">
        <f t="shared" si="6"/>
        <v>135542.08012815999</v>
      </c>
    </row>
    <row r="40" spans="1:9" x14ac:dyDescent="0.3">
      <c r="A40">
        <v>10</v>
      </c>
      <c r="B40">
        <v>760</v>
      </c>
      <c r="C40">
        <f t="shared" si="0"/>
        <v>100</v>
      </c>
      <c r="D40">
        <f t="shared" si="1"/>
        <v>7600</v>
      </c>
      <c r="E40">
        <f t="shared" si="2"/>
        <v>714.57569999999998</v>
      </c>
      <c r="F40">
        <f t="shared" si="3"/>
        <v>45.424300000000017</v>
      </c>
      <c r="G40">
        <f t="shared" si="4"/>
        <v>2063.3670304900015</v>
      </c>
      <c r="H40">
        <f t="shared" si="5"/>
        <v>-126.16039999999998</v>
      </c>
      <c r="I40">
        <f t="shared" si="6"/>
        <v>15916.446528159995</v>
      </c>
    </row>
    <row r="41" spans="1:9" x14ac:dyDescent="0.3">
      <c r="A41">
        <v>24.2</v>
      </c>
      <c r="B41">
        <v>1051</v>
      </c>
      <c r="C41">
        <f t="shared" si="0"/>
        <v>585.64</v>
      </c>
      <c r="D41">
        <f t="shared" si="1"/>
        <v>25434.2</v>
      </c>
      <c r="E41">
        <f t="shared" si="2"/>
        <v>1014.256476</v>
      </c>
      <c r="F41">
        <f t="shared" si="3"/>
        <v>36.743523999999979</v>
      </c>
      <c r="G41">
        <f t="shared" si="4"/>
        <v>1350.0865559385745</v>
      </c>
      <c r="H41">
        <f t="shared" si="5"/>
        <v>164.83960000000002</v>
      </c>
      <c r="I41">
        <f t="shared" si="6"/>
        <v>27172.093728160005</v>
      </c>
    </row>
    <row r="42" spans="1:9" x14ac:dyDescent="0.3">
      <c r="A42">
        <v>11.8</v>
      </c>
      <c r="B42">
        <v>881</v>
      </c>
      <c r="C42">
        <f t="shared" si="0"/>
        <v>139.24</v>
      </c>
      <c r="D42">
        <f t="shared" si="1"/>
        <v>10395.800000000001</v>
      </c>
      <c r="E42">
        <f t="shared" si="2"/>
        <v>752.56340399999999</v>
      </c>
      <c r="F42">
        <f t="shared" si="3"/>
        <v>128.43659600000001</v>
      </c>
      <c r="G42">
        <f t="shared" si="4"/>
        <v>16495.959192067217</v>
      </c>
      <c r="H42">
        <f t="shared" si="5"/>
        <v>-5.1603999999999814</v>
      </c>
      <c r="I42">
        <f t="shared" si="6"/>
        <v>26.629728159999807</v>
      </c>
    </row>
    <row r="43" spans="1:9" x14ac:dyDescent="0.3">
      <c r="A43">
        <v>25.6</v>
      </c>
      <c r="B43">
        <v>1307</v>
      </c>
      <c r="C43">
        <f t="shared" si="0"/>
        <v>655.36000000000013</v>
      </c>
      <c r="D43">
        <f t="shared" si="1"/>
        <v>33459.200000000004</v>
      </c>
      <c r="E43">
        <f t="shared" si="2"/>
        <v>1043.8024680000001</v>
      </c>
      <c r="F43">
        <f t="shared" si="3"/>
        <v>263.19753199999991</v>
      </c>
      <c r="G43">
        <f t="shared" si="4"/>
        <v>69272.940850890984</v>
      </c>
      <c r="H43">
        <f t="shared" si="5"/>
        <v>420.83960000000002</v>
      </c>
      <c r="I43">
        <f t="shared" si="6"/>
        <v>177105.96892816003</v>
      </c>
    </row>
    <row r="44" spans="1:9" x14ac:dyDescent="0.3">
      <c r="A44">
        <v>28.4</v>
      </c>
      <c r="B44">
        <v>1005</v>
      </c>
      <c r="C44">
        <f t="shared" si="0"/>
        <v>806.56</v>
      </c>
      <c r="D44">
        <f t="shared" si="1"/>
        <v>28542</v>
      </c>
      <c r="E44">
        <f t="shared" si="2"/>
        <v>1102.894452</v>
      </c>
      <c r="F44">
        <f t="shared" si="3"/>
        <v>-97.894452000000001</v>
      </c>
      <c r="G44">
        <f t="shared" si="4"/>
        <v>9583.3237323803041</v>
      </c>
      <c r="H44">
        <f t="shared" si="5"/>
        <v>118.83960000000002</v>
      </c>
      <c r="I44">
        <f t="shared" si="6"/>
        <v>14122.850528160005</v>
      </c>
    </row>
    <row r="45" spans="1:9" x14ac:dyDescent="0.3">
      <c r="A45">
        <v>15.7</v>
      </c>
      <c r="B45">
        <v>666</v>
      </c>
      <c r="C45">
        <f t="shared" si="0"/>
        <v>246.48999999999998</v>
      </c>
      <c r="D45">
        <f t="shared" si="1"/>
        <v>10456.199999999999</v>
      </c>
      <c r="E45">
        <f t="shared" si="2"/>
        <v>834.87009599999988</v>
      </c>
      <c r="F45">
        <f t="shared" si="3"/>
        <v>-168.87009599999988</v>
      </c>
      <c r="G45">
        <f t="shared" si="4"/>
        <v>28517.109323049175</v>
      </c>
      <c r="H45">
        <f t="shared" si="5"/>
        <v>-220.16039999999998</v>
      </c>
      <c r="I45">
        <f t="shared" si="6"/>
        <v>48470.601728159992</v>
      </c>
    </row>
    <row r="46" spans="1:9" x14ac:dyDescent="0.3">
      <c r="A46">
        <v>9</v>
      </c>
      <c r="B46">
        <v>777</v>
      </c>
      <c r="C46">
        <f t="shared" si="0"/>
        <v>81</v>
      </c>
      <c r="D46">
        <f t="shared" si="1"/>
        <v>6993</v>
      </c>
      <c r="E46">
        <f t="shared" si="2"/>
        <v>693.47141999999997</v>
      </c>
      <c r="F46">
        <f t="shared" si="3"/>
        <v>83.528580000000034</v>
      </c>
      <c r="G46">
        <f t="shared" si="4"/>
        <v>6977.0236768164059</v>
      </c>
      <c r="H46">
        <f t="shared" si="5"/>
        <v>-109.16039999999998</v>
      </c>
      <c r="I46">
        <f t="shared" si="6"/>
        <v>11915.992928159996</v>
      </c>
    </row>
    <row r="47" spans="1:9" x14ac:dyDescent="0.3">
      <c r="A47">
        <v>7.9</v>
      </c>
      <c r="B47">
        <v>533</v>
      </c>
      <c r="C47">
        <f t="shared" si="0"/>
        <v>62.410000000000004</v>
      </c>
      <c r="D47">
        <f t="shared" si="1"/>
        <v>4210.7</v>
      </c>
      <c r="E47">
        <f t="shared" si="2"/>
        <v>670.25671199999999</v>
      </c>
      <c r="F47">
        <f t="shared" si="3"/>
        <v>-137.25671199999999</v>
      </c>
      <c r="G47">
        <f t="shared" si="4"/>
        <v>18839.404989050941</v>
      </c>
      <c r="H47">
        <f t="shared" si="5"/>
        <v>-353.16039999999998</v>
      </c>
      <c r="I47">
        <f t="shared" si="6"/>
        <v>124722.26812815998</v>
      </c>
    </row>
    <row r="48" spans="1:9" x14ac:dyDescent="0.3">
      <c r="A48">
        <v>10.1</v>
      </c>
      <c r="B48">
        <v>581</v>
      </c>
      <c r="C48">
        <f t="shared" si="0"/>
        <v>102.00999999999999</v>
      </c>
      <c r="D48">
        <f t="shared" si="1"/>
        <v>5868.0999999999995</v>
      </c>
      <c r="E48">
        <f t="shared" si="2"/>
        <v>716.68612799999994</v>
      </c>
      <c r="F48">
        <f t="shared" si="3"/>
        <v>-135.68612799999994</v>
      </c>
      <c r="G48">
        <f t="shared" si="4"/>
        <v>18410.725331632366</v>
      </c>
      <c r="H48">
        <f t="shared" si="5"/>
        <v>-305.16039999999998</v>
      </c>
      <c r="I48">
        <f t="shared" si="6"/>
        <v>93122.869728159989</v>
      </c>
    </row>
    <row r="49" spans="1:9" x14ac:dyDescent="0.3">
      <c r="A49">
        <v>18.8</v>
      </c>
      <c r="B49">
        <v>1022</v>
      </c>
      <c r="C49">
        <f t="shared" si="0"/>
        <v>353.44000000000005</v>
      </c>
      <c r="D49">
        <f t="shared" si="1"/>
        <v>19213.600000000002</v>
      </c>
      <c r="E49">
        <f t="shared" si="2"/>
        <v>900.293364</v>
      </c>
      <c r="F49">
        <f t="shared" si="3"/>
        <v>121.706636</v>
      </c>
      <c r="G49">
        <f t="shared" si="4"/>
        <v>14812.505246436496</v>
      </c>
      <c r="H49">
        <f t="shared" si="5"/>
        <v>135.83960000000002</v>
      </c>
      <c r="I49">
        <f t="shared" si="6"/>
        <v>18452.396928160004</v>
      </c>
    </row>
    <row r="50" spans="1:9" x14ac:dyDescent="0.3">
      <c r="A50">
        <v>29.2</v>
      </c>
      <c r="B50">
        <v>1364</v>
      </c>
      <c r="C50">
        <f t="shared" si="0"/>
        <v>852.64</v>
      </c>
      <c r="D50">
        <f t="shared" si="1"/>
        <v>39828.799999999996</v>
      </c>
      <c r="E50">
        <f t="shared" si="2"/>
        <v>1119.7778759999999</v>
      </c>
      <c r="F50">
        <f t="shared" si="3"/>
        <v>244.22212400000012</v>
      </c>
      <c r="G50">
        <f t="shared" si="4"/>
        <v>59644.445851071432</v>
      </c>
      <c r="H50">
        <f t="shared" si="5"/>
        <v>477.83960000000002</v>
      </c>
      <c r="I50">
        <f t="shared" si="6"/>
        <v>228330.68332816003</v>
      </c>
    </row>
    <row r="51" spans="1:9" x14ac:dyDescent="0.3">
      <c r="A51">
        <v>19.3</v>
      </c>
      <c r="B51">
        <v>934</v>
      </c>
      <c r="C51">
        <f t="shared" si="0"/>
        <v>372.49</v>
      </c>
      <c r="D51">
        <f t="shared" si="1"/>
        <v>18026.2</v>
      </c>
      <c r="E51">
        <f t="shared" si="2"/>
        <v>910.84550400000001</v>
      </c>
      <c r="F51">
        <f t="shared" si="3"/>
        <v>23.154495999999995</v>
      </c>
      <c r="G51">
        <f t="shared" si="4"/>
        <v>536.13068501401574</v>
      </c>
      <c r="H51">
        <f t="shared" si="5"/>
        <v>47.839600000000019</v>
      </c>
      <c r="I51">
        <f t="shared" si="6"/>
        <v>2288.627328160002</v>
      </c>
    </row>
    <row r="52" spans="1:9" x14ac:dyDescent="0.3">
      <c r="A52">
        <v>11.1</v>
      </c>
      <c r="B52">
        <v>474</v>
      </c>
      <c r="C52">
        <f t="shared" si="0"/>
        <v>123.21</v>
      </c>
      <c r="D52">
        <f t="shared" si="1"/>
        <v>5261.4</v>
      </c>
      <c r="E52">
        <f t="shared" si="2"/>
        <v>737.79040799999996</v>
      </c>
      <c r="F52">
        <f t="shared" si="3"/>
        <v>-263.79040799999996</v>
      </c>
      <c r="G52">
        <f t="shared" si="4"/>
        <v>69585.379352806442</v>
      </c>
      <c r="H52">
        <f t="shared" si="5"/>
        <v>-412.16039999999998</v>
      </c>
      <c r="I52">
        <f t="shared" si="6"/>
        <v>169876.19532815999</v>
      </c>
    </row>
    <row r="53" spans="1:9" x14ac:dyDescent="0.3">
      <c r="A53">
        <v>14</v>
      </c>
      <c r="B53">
        <v>853</v>
      </c>
      <c r="C53">
        <f t="shared" si="0"/>
        <v>196</v>
      </c>
      <c r="D53">
        <f t="shared" si="1"/>
        <v>11942</v>
      </c>
      <c r="E53">
        <f t="shared" si="2"/>
        <v>798.99281999999994</v>
      </c>
      <c r="F53">
        <f t="shared" si="3"/>
        <v>54.007180000000062</v>
      </c>
      <c r="G53">
        <f t="shared" si="4"/>
        <v>2916.7754915524065</v>
      </c>
      <c r="H53">
        <f t="shared" si="5"/>
        <v>-33.160399999999981</v>
      </c>
      <c r="I53">
        <f t="shared" si="6"/>
        <v>1099.6121281599987</v>
      </c>
    </row>
    <row r="54" spans="1:9" x14ac:dyDescent="0.3">
      <c r="A54">
        <v>13</v>
      </c>
      <c r="B54">
        <v>706</v>
      </c>
      <c r="C54">
        <f t="shared" si="0"/>
        <v>169</v>
      </c>
      <c r="D54">
        <f t="shared" si="1"/>
        <v>9178</v>
      </c>
      <c r="E54">
        <f t="shared" si="2"/>
        <v>777.88853999999992</v>
      </c>
      <c r="F54">
        <f t="shared" si="3"/>
        <v>-71.888539999999921</v>
      </c>
      <c r="G54">
        <f t="shared" si="4"/>
        <v>5167.9621833315887</v>
      </c>
      <c r="H54">
        <f t="shared" si="5"/>
        <v>-180.16039999999998</v>
      </c>
      <c r="I54">
        <f t="shared" si="6"/>
        <v>32457.769728159994</v>
      </c>
    </row>
    <row r="55" spans="1:9" x14ac:dyDescent="0.3">
      <c r="A55">
        <v>19.600000000000001</v>
      </c>
      <c r="B55">
        <v>1464</v>
      </c>
      <c r="C55">
        <f t="shared" si="0"/>
        <v>384.16000000000008</v>
      </c>
      <c r="D55">
        <f t="shared" si="1"/>
        <v>28694.400000000001</v>
      </c>
      <c r="E55">
        <f t="shared" si="2"/>
        <v>917.17678799999999</v>
      </c>
      <c r="F55">
        <f t="shared" si="3"/>
        <v>546.82321200000001</v>
      </c>
      <c r="G55">
        <f t="shared" si="4"/>
        <v>299015.62518199696</v>
      </c>
      <c r="H55">
        <f t="shared" si="5"/>
        <v>577.83960000000002</v>
      </c>
      <c r="I55">
        <f t="shared" si="6"/>
        <v>333898.60332816001</v>
      </c>
    </row>
    <row r="56" spans="1:9" x14ac:dyDescent="0.3">
      <c r="A56">
        <v>18.100000000000001</v>
      </c>
      <c r="B56">
        <v>869</v>
      </c>
      <c r="C56">
        <f t="shared" si="0"/>
        <v>327.61000000000007</v>
      </c>
      <c r="D56">
        <f t="shared" si="1"/>
        <v>15728.900000000001</v>
      </c>
      <c r="E56">
        <f t="shared" si="2"/>
        <v>885.52036799999996</v>
      </c>
      <c r="F56">
        <f t="shared" si="3"/>
        <v>-16.520367999999962</v>
      </c>
      <c r="G56">
        <f t="shared" si="4"/>
        <v>272.92255885542278</v>
      </c>
      <c r="H56">
        <f t="shared" si="5"/>
        <v>-17.160399999999981</v>
      </c>
      <c r="I56">
        <f t="shared" si="6"/>
        <v>294.47932815999934</v>
      </c>
    </row>
    <row r="57" spans="1:9" x14ac:dyDescent="0.3">
      <c r="A57">
        <v>13</v>
      </c>
      <c r="B57">
        <v>1195</v>
      </c>
      <c r="C57">
        <f t="shared" si="0"/>
        <v>169</v>
      </c>
      <c r="D57">
        <f t="shared" si="1"/>
        <v>15535</v>
      </c>
      <c r="E57">
        <f t="shared" si="2"/>
        <v>777.88853999999992</v>
      </c>
      <c r="F57">
        <f t="shared" si="3"/>
        <v>417.11146000000008</v>
      </c>
      <c r="G57">
        <f t="shared" si="4"/>
        <v>173981.97006333165</v>
      </c>
      <c r="H57">
        <f t="shared" si="5"/>
        <v>308.83960000000002</v>
      </c>
      <c r="I57">
        <f t="shared" si="6"/>
        <v>95381.898528160018</v>
      </c>
    </row>
    <row r="58" spans="1:9" x14ac:dyDescent="0.3">
      <c r="A58">
        <v>21.3</v>
      </c>
      <c r="B58">
        <v>776</v>
      </c>
      <c r="C58">
        <f t="shared" si="0"/>
        <v>453.69000000000005</v>
      </c>
      <c r="D58">
        <f t="shared" si="1"/>
        <v>16528.8</v>
      </c>
      <c r="E58">
        <f t="shared" si="2"/>
        <v>953.05406399999993</v>
      </c>
      <c r="F58">
        <f t="shared" si="3"/>
        <v>-177.05406399999993</v>
      </c>
      <c r="G58">
        <f t="shared" si="4"/>
        <v>31348.141578916071</v>
      </c>
      <c r="H58">
        <f t="shared" si="5"/>
        <v>-110.16039999999998</v>
      </c>
      <c r="I58">
        <f t="shared" si="6"/>
        <v>12135.313728159996</v>
      </c>
    </row>
    <row r="59" spans="1:9" x14ac:dyDescent="0.3">
      <c r="A59">
        <v>11.4</v>
      </c>
      <c r="B59">
        <v>1003</v>
      </c>
      <c r="C59">
        <f t="shared" si="0"/>
        <v>129.96</v>
      </c>
      <c r="D59">
        <f t="shared" si="1"/>
        <v>11434.2</v>
      </c>
      <c r="E59">
        <f t="shared" si="2"/>
        <v>744.12169199999994</v>
      </c>
      <c r="F59">
        <f t="shared" si="3"/>
        <v>258.87830800000006</v>
      </c>
      <c r="G59">
        <f t="shared" si="4"/>
        <v>67017.978352942897</v>
      </c>
      <c r="H59">
        <f t="shared" si="5"/>
        <v>116.83960000000002</v>
      </c>
      <c r="I59">
        <f t="shared" si="6"/>
        <v>13651.492128160004</v>
      </c>
    </row>
    <row r="60" spans="1:9" x14ac:dyDescent="0.3">
      <c r="A60">
        <v>3.2</v>
      </c>
      <c r="B60">
        <v>789</v>
      </c>
      <c r="C60">
        <f t="shared" si="0"/>
        <v>10.240000000000002</v>
      </c>
      <c r="D60">
        <f t="shared" si="1"/>
        <v>2524.8000000000002</v>
      </c>
      <c r="E60">
        <f t="shared" si="2"/>
        <v>571.066596</v>
      </c>
      <c r="F60">
        <f t="shared" si="3"/>
        <v>217.933404</v>
      </c>
      <c r="G60">
        <f t="shared" si="4"/>
        <v>47494.968579027212</v>
      </c>
      <c r="H60">
        <f t="shared" si="5"/>
        <v>-97.160399999999981</v>
      </c>
      <c r="I60">
        <f t="shared" si="6"/>
        <v>9440.1433281599966</v>
      </c>
    </row>
    <row r="61" spans="1:9" x14ac:dyDescent="0.3">
      <c r="A61">
        <v>23.9</v>
      </c>
      <c r="B61">
        <v>835</v>
      </c>
      <c r="C61">
        <f t="shared" si="0"/>
        <v>571.20999999999992</v>
      </c>
      <c r="D61">
        <f t="shared" si="1"/>
        <v>19956.5</v>
      </c>
      <c r="E61">
        <f t="shared" si="2"/>
        <v>1007.9251919999999</v>
      </c>
      <c r="F61">
        <f t="shared" si="3"/>
        <v>-172.92519199999992</v>
      </c>
      <c r="G61">
        <f t="shared" si="4"/>
        <v>29903.122028236838</v>
      </c>
      <c r="H61">
        <f t="shared" si="5"/>
        <v>-51.160399999999981</v>
      </c>
      <c r="I61">
        <f t="shared" si="6"/>
        <v>2617.3865281599983</v>
      </c>
    </row>
    <row r="62" spans="1:9" x14ac:dyDescent="0.3">
      <c r="A62">
        <v>20.5</v>
      </c>
      <c r="B62">
        <v>920</v>
      </c>
      <c r="C62">
        <f t="shared" si="0"/>
        <v>420.25</v>
      </c>
      <c r="D62">
        <f t="shared" si="1"/>
        <v>18860</v>
      </c>
      <c r="E62">
        <f t="shared" si="2"/>
        <v>936.17064000000005</v>
      </c>
      <c r="F62">
        <f t="shared" si="3"/>
        <v>-16.170640000000049</v>
      </c>
      <c r="G62">
        <f t="shared" si="4"/>
        <v>261.48959800960159</v>
      </c>
      <c r="H62">
        <f t="shared" si="5"/>
        <v>33.839600000000019</v>
      </c>
      <c r="I62">
        <f t="shared" si="6"/>
        <v>1145.1185281600012</v>
      </c>
    </row>
    <row r="63" spans="1:9" x14ac:dyDescent="0.3">
      <c r="A63">
        <v>1.4</v>
      </c>
      <c r="B63">
        <v>494</v>
      </c>
      <c r="C63">
        <f t="shared" si="0"/>
        <v>1.9599999999999997</v>
      </c>
      <c r="D63">
        <f t="shared" si="1"/>
        <v>691.59999999999991</v>
      </c>
      <c r="E63">
        <f t="shared" si="2"/>
        <v>533.078892</v>
      </c>
      <c r="F63">
        <f t="shared" si="3"/>
        <v>-39.078891999999996</v>
      </c>
      <c r="G63">
        <f t="shared" si="4"/>
        <v>1527.1597999476637</v>
      </c>
      <c r="H63">
        <f t="shared" si="5"/>
        <v>-392.16039999999998</v>
      </c>
      <c r="I63">
        <f t="shared" si="6"/>
        <v>153789.77932815999</v>
      </c>
    </row>
    <row r="64" spans="1:9" x14ac:dyDescent="0.3">
      <c r="A64">
        <v>2</v>
      </c>
      <c r="B64">
        <v>289</v>
      </c>
      <c r="C64">
        <f t="shared" si="0"/>
        <v>4</v>
      </c>
      <c r="D64">
        <f t="shared" si="1"/>
        <v>578</v>
      </c>
      <c r="E64">
        <f t="shared" si="2"/>
        <v>545.74145999999996</v>
      </c>
      <c r="F64">
        <f t="shared" si="3"/>
        <v>-256.74145999999996</v>
      </c>
      <c r="G64">
        <f t="shared" si="4"/>
        <v>65916.177282931574</v>
      </c>
      <c r="H64">
        <f t="shared" si="5"/>
        <v>-597.16039999999998</v>
      </c>
      <c r="I64">
        <f t="shared" si="6"/>
        <v>356600.54332815995</v>
      </c>
    </row>
    <row r="65" spans="1:9" x14ac:dyDescent="0.3">
      <c r="A65">
        <v>24.6</v>
      </c>
      <c r="B65">
        <v>1000</v>
      </c>
      <c r="C65">
        <f t="shared" si="0"/>
        <v>605.16000000000008</v>
      </c>
      <c r="D65">
        <f t="shared" si="1"/>
        <v>24600</v>
      </c>
      <c r="E65">
        <f t="shared" si="2"/>
        <v>1022.6981880000001</v>
      </c>
      <c r="F65">
        <f t="shared" si="3"/>
        <v>-22.698188000000073</v>
      </c>
      <c r="G65">
        <f t="shared" si="4"/>
        <v>515.20773848334727</v>
      </c>
      <c r="H65">
        <f t="shared" si="5"/>
        <v>113.83960000000002</v>
      </c>
      <c r="I65">
        <f t="shared" si="6"/>
        <v>12959.454528160004</v>
      </c>
    </row>
    <row r="66" spans="1:9" x14ac:dyDescent="0.3">
      <c r="A66">
        <v>12</v>
      </c>
      <c r="B66">
        <v>274</v>
      </c>
      <c r="C66">
        <f t="shared" si="0"/>
        <v>144</v>
      </c>
      <c r="D66">
        <f t="shared" si="1"/>
        <v>3288</v>
      </c>
      <c r="E66">
        <f t="shared" si="2"/>
        <v>756.7842599999999</v>
      </c>
      <c r="F66">
        <f t="shared" si="3"/>
        <v>-482.7842599999999</v>
      </c>
      <c r="G66">
        <f t="shared" si="4"/>
        <v>233080.6417037475</v>
      </c>
      <c r="H66">
        <f t="shared" si="5"/>
        <v>-612.16039999999998</v>
      </c>
      <c r="I66">
        <f t="shared" si="6"/>
        <v>374740.35532815999</v>
      </c>
    </row>
    <row r="67" spans="1:9" x14ac:dyDescent="0.3">
      <c r="A67">
        <v>33</v>
      </c>
      <c r="B67">
        <v>1430</v>
      </c>
      <c r="C67">
        <f t="shared" ref="C67:C130" si="7">PRODUCT(A67,A67)</f>
        <v>1089</v>
      </c>
      <c r="D67">
        <f t="shared" ref="D67:D130" si="8">PRODUCT(A67,B67)</f>
        <v>47190</v>
      </c>
      <c r="E67">
        <f t="shared" ref="E67:E130" si="9">503.5329+PRODUCT(21.10428,A67)</f>
        <v>1199.97414</v>
      </c>
      <c r="F67">
        <f t="shared" ref="F67:F130" si="10">B67-E67</f>
        <v>230.02585999999997</v>
      </c>
      <c r="G67">
        <f t="shared" ref="G67:G130" si="11">PRODUCT(F67,F67)</f>
        <v>52911.896268739583</v>
      </c>
      <c r="H67">
        <f t="shared" ref="H67:H130" si="12">B67-886.1604</f>
        <v>543.83960000000002</v>
      </c>
      <c r="I67">
        <f t="shared" ref="I67:I130" si="13">PRODUCT(H67,H67)</f>
        <v>295761.51052816003</v>
      </c>
    </row>
    <row r="68" spans="1:9" x14ac:dyDescent="0.3">
      <c r="A68">
        <v>16.399999999999999</v>
      </c>
      <c r="B68">
        <v>687</v>
      </c>
      <c r="C68">
        <f t="shared" si="7"/>
        <v>268.95999999999998</v>
      </c>
      <c r="D68">
        <f t="shared" si="8"/>
        <v>11266.8</v>
      </c>
      <c r="E68">
        <f t="shared" si="9"/>
        <v>849.64309200000002</v>
      </c>
      <c r="F68">
        <f t="shared" si="10"/>
        <v>-162.64309200000002</v>
      </c>
      <c r="G68">
        <f t="shared" si="11"/>
        <v>26452.775375320471</v>
      </c>
      <c r="H68">
        <f t="shared" si="12"/>
        <v>-199.16039999999998</v>
      </c>
      <c r="I68">
        <f t="shared" si="13"/>
        <v>39664.864928159994</v>
      </c>
    </row>
    <row r="69" spans="1:9" x14ac:dyDescent="0.3">
      <c r="A69">
        <v>13.6</v>
      </c>
      <c r="B69">
        <v>747</v>
      </c>
      <c r="C69">
        <f t="shared" si="7"/>
        <v>184.95999999999998</v>
      </c>
      <c r="D69">
        <f t="shared" si="8"/>
        <v>10159.199999999999</v>
      </c>
      <c r="E69">
        <f t="shared" si="9"/>
        <v>790.55110799999989</v>
      </c>
      <c r="F69">
        <f t="shared" si="10"/>
        <v>-43.551107999999886</v>
      </c>
      <c r="G69">
        <f t="shared" si="11"/>
        <v>1896.6990080276541</v>
      </c>
      <c r="H69">
        <f t="shared" si="12"/>
        <v>-139.16039999999998</v>
      </c>
      <c r="I69">
        <f t="shared" si="13"/>
        <v>19365.616928159994</v>
      </c>
    </row>
    <row r="70" spans="1:9" x14ac:dyDescent="0.3">
      <c r="A70">
        <v>40.299999999999997</v>
      </c>
      <c r="B70">
        <v>1504</v>
      </c>
      <c r="C70">
        <f t="shared" si="7"/>
        <v>1624.0899999999997</v>
      </c>
      <c r="D70">
        <f t="shared" si="8"/>
        <v>60611.199999999997</v>
      </c>
      <c r="E70">
        <f t="shared" si="9"/>
        <v>1354.0353839999998</v>
      </c>
      <c r="F70">
        <f t="shared" si="10"/>
        <v>149.96461600000021</v>
      </c>
      <c r="G70">
        <f t="shared" si="11"/>
        <v>22489.386052027519</v>
      </c>
      <c r="H70">
        <f t="shared" si="12"/>
        <v>617.83960000000002</v>
      </c>
      <c r="I70">
        <f t="shared" si="13"/>
        <v>381725.77132816002</v>
      </c>
    </row>
    <row r="71" spans="1:9" x14ac:dyDescent="0.3">
      <c r="A71">
        <v>28.7</v>
      </c>
      <c r="B71">
        <v>1374</v>
      </c>
      <c r="C71">
        <f t="shared" si="7"/>
        <v>823.68999999999994</v>
      </c>
      <c r="D71">
        <f t="shared" si="8"/>
        <v>39433.799999999996</v>
      </c>
      <c r="E71">
        <f t="shared" si="9"/>
        <v>1109.2257359999999</v>
      </c>
      <c r="F71">
        <f t="shared" si="10"/>
        <v>264.77426400000013</v>
      </c>
      <c r="G71">
        <f t="shared" si="11"/>
        <v>70105.410876741764</v>
      </c>
      <c r="H71">
        <f t="shared" si="12"/>
        <v>487.83960000000002</v>
      </c>
      <c r="I71">
        <f t="shared" si="13"/>
        <v>237987.47532816001</v>
      </c>
    </row>
    <row r="72" spans="1:9" x14ac:dyDescent="0.3">
      <c r="A72">
        <v>7.6</v>
      </c>
      <c r="B72">
        <v>683</v>
      </c>
      <c r="C72">
        <f t="shared" si="7"/>
        <v>57.76</v>
      </c>
      <c r="D72">
        <f t="shared" si="8"/>
        <v>5190.8</v>
      </c>
      <c r="E72">
        <f t="shared" si="9"/>
        <v>663.92542800000001</v>
      </c>
      <c r="F72">
        <f t="shared" si="10"/>
        <v>19.074571999999989</v>
      </c>
      <c r="G72">
        <f t="shared" si="11"/>
        <v>363.8392969831836</v>
      </c>
      <c r="H72">
        <f t="shared" si="12"/>
        <v>-203.16039999999998</v>
      </c>
      <c r="I72">
        <f t="shared" si="13"/>
        <v>41274.148128159992</v>
      </c>
    </row>
    <row r="73" spans="1:9" x14ac:dyDescent="0.3">
      <c r="A73">
        <v>9.4</v>
      </c>
      <c r="B73">
        <v>237</v>
      </c>
      <c r="C73">
        <f t="shared" si="7"/>
        <v>88.360000000000014</v>
      </c>
      <c r="D73">
        <f t="shared" si="8"/>
        <v>2227.8000000000002</v>
      </c>
      <c r="E73">
        <f t="shared" si="9"/>
        <v>701.91313200000002</v>
      </c>
      <c r="F73">
        <f t="shared" si="10"/>
        <v>-464.91313200000002</v>
      </c>
      <c r="G73">
        <f t="shared" si="11"/>
        <v>216144.22030604945</v>
      </c>
      <c r="H73">
        <f t="shared" si="12"/>
        <v>-649.16039999999998</v>
      </c>
      <c r="I73">
        <f t="shared" si="13"/>
        <v>421409.22492815997</v>
      </c>
    </row>
    <row r="74" spans="1:9" x14ac:dyDescent="0.3">
      <c r="A74">
        <v>18.3</v>
      </c>
      <c r="B74">
        <v>1353</v>
      </c>
      <c r="C74">
        <f t="shared" si="7"/>
        <v>334.89000000000004</v>
      </c>
      <c r="D74">
        <f t="shared" si="8"/>
        <v>24759.9</v>
      </c>
      <c r="E74">
        <f t="shared" si="9"/>
        <v>889.74122399999999</v>
      </c>
      <c r="F74">
        <f t="shared" si="10"/>
        <v>463.25877600000001</v>
      </c>
      <c r="G74">
        <f t="shared" si="11"/>
        <v>214608.69354101818</v>
      </c>
      <c r="H74">
        <f t="shared" si="12"/>
        <v>466.83960000000002</v>
      </c>
      <c r="I74">
        <f t="shared" si="13"/>
        <v>217939.21212816003</v>
      </c>
    </row>
    <row r="75" spans="1:9" x14ac:dyDescent="0.3">
      <c r="A75">
        <v>22.3</v>
      </c>
      <c r="B75">
        <v>1142</v>
      </c>
      <c r="C75">
        <f t="shared" si="7"/>
        <v>497.29</v>
      </c>
      <c r="D75">
        <f t="shared" si="8"/>
        <v>25466.600000000002</v>
      </c>
      <c r="E75">
        <f t="shared" si="9"/>
        <v>974.15834399999994</v>
      </c>
      <c r="F75">
        <f t="shared" si="10"/>
        <v>167.84165600000006</v>
      </c>
      <c r="G75">
        <f t="shared" si="11"/>
        <v>28170.821488822356</v>
      </c>
      <c r="H75">
        <f t="shared" si="12"/>
        <v>255.83960000000002</v>
      </c>
      <c r="I75">
        <f t="shared" si="13"/>
        <v>65453.900928160008</v>
      </c>
    </row>
    <row r="76" spans="1:9" x14ac:dyDescent="0.3">
      <c r="A76">
        <v>34.9</v>
      </c>
      <c r="B76">
        <v>1391</v>
      </c>
      <c r="C76">
        <f t="shared" si="7"/>
        <v>1218.01</v>
      </c>
      <c r="D76">
        <f t="shared" si="8"/>
        <v>48545.9</v>
      </c>
      <c r="E76">
        <f t="shared" si="9"/>
        <v>1240.0722719999999</v>
      </c>
      <c r="F76">
        <f t="shared" si="10"/>
        <v>150.92772800000012</v>
      </c>
      <c r="G76">
        <f t="shared" si="11"/>
        <v>22779.179079242018</v>
      </c>
      <c r="H76">
        <f t="shared" si="12"/>
        <v>504.83960000000002</v>
      </c>
      <c r="I76">
        <f t="shared" si="13"/>
        <v>254863.02172816001</v>
      </c>
    </row>
    <row r="77" spans="1:9" x14ac:dyDescent="0.3">
      <c r="A77">
        <v>11.7</v>
      </c>
      <c r="B77">
        <v>756</v>
      </c>
      <c r="C77">
        <f t="shared" si="7"/>
        <v>136.88999999999999</v>
      </c>
      <c r="D77">
        <f t="shared" si="8"/>
        <v>8845.1999999999989</v>
      </c>
      <c r="E77">
        <f t="shared" si="9"/>
        <v>750.45297599999992</v>
      </c>
      <c r="F77">
        <f t="shared" si="10"/>
        <v>5.5470240000000786</v>
      </c>
      <c r="G77">
        <f t="shared" si="11"/>
        <v>30.769475256576872</v>
      </c>
      <c r="H77">
        <f t="shared" si="12"/>
        <v>-130.16039999999998</v>
      </c>
      <c r="I77">
        <f t="shared" si="13"/>
        <v>16941.729728159997</v>
      </c>
    </row>
    <row r="78" spans="1:9" x14ac:dyDescent="0.3">
      <c r="A78">
        <v>18.2</v>
      </c>
      <c r="B78">
        <v>1104</v>
      </c>
      <c r="C78">
        <f t="shared" si="7"/>
        <v>331.23999999999995</v>
      </c>
      <c r="D78">
        <f t="shared" si="8"/>
        <v>20092.8</v>
      </c>
      <c r="E78">
        <f t="shared" si="9"/>
        <v>887.63079599999992</v>
      </c>
      <c r="F78">
        <f t="shared" si="10"/>
        <v>216.36920400000008</v>
      </c>
      <c r="G78">
        <f t="shared" si="11"/>
        <v>46815.632439593654</v>
      </c>
      <c r="H78">
        <f t="shared" si="12"/>
        <v>217.83960000000002</v>
      </c>
      <c r="I78">
        <f t="shared" si="13"/>
        <v>47454.091328160008</v>
      </c>
    </row>
    <row r="79" spans="1:9" x14ac:dyDescent="0.3">
      <c r="A79">
        <v>21.6</v>
      </c>
      <c r="B79">
        <v>1076</v>
      </c>
      <c r="C79">
        <f t="shared" si="7"/>
        <v>466.56000000000006</v>
      </c>
      <c r="D79">
        <f t="shared" si="8"/>
        <v>23241.600000000002</v>
      </c>
      <c r="E79">
        <f t="shared" si="9"/>
        <v>959.38534800000002</v>
      </c>
      <c r="F79">
        <f t="shared" si="10"/>
        <v>116.61465199999998</v>
      </c>
      <c r="G79">
        <f t="shared" si="11"/>
        <v>13598.977061081099</v>
      </c>
      <c r="H79">
        <f t="shared" si="12"/>
        <v>189.83960000000002</v>
      </c>
      <c r="I79">
        <f t="shared" si="13"/>
        <v>36039.073728160009</v>
      </c>
    </row>
    <row r="80" spans="1:9" x14ac:dyDescent="0.3">
      <c r="A80">
        <v>26.5</v>
      </c>
      <c r="B80">
        <v>1013</v>
      </c>
      <c r="C80">
        <f t="shared" si="7"/>
        <v>702.25</v>
      </c>
      <c r="D80">
        <f t="shared" si="8"/>
        <v>26844.5</v>
      </c>
      <c r="E80">
        <f t="shared" si="9"/>
        <v>1062.7963199999999</v>
      </c>
      <c r="F80">
        <f t="shared" si="10"/>
        <v>-49.796319999999923</v>
      </c>
      <c r="G80">
        <f t="shared" si="11"/>
        <v>2479.6734855423924</v>
      </c>
      <c r="H80">
        <f t="shared" si="12"/>
        <v>126.83960000000002</v>
      </c>
      <c r="I80">
        <f t="shared" si="13"/>
        <v>16088.284128160005</v>
      </c>
    </row>
    <row r="81" spans="1:9" x14ac:dyDescent="0.3">
      <c r="A81">
        <v>16.2</v>
      </c>
      <c r="B81">
        <v>430</v>
      </c>
      <c r="C81">
        <f t="shared" si="7"/>
        <v>262.44</v>
      </c>
      <c r="D81">
        <f t="shared" si="8"/>
        <v>6966</v>
      </c>
      <c r="E81">
        <f t="shared" si="9"/>
        <v>845.42223599999988</v>
      </c>
      <c r="F81">
        <f t="shared" si="10"/>
        <v>-415.42223599999988</v>
      </c>
      <c r="G81">
        <f t="shared" si="11"/>
        <v>172575.63416323959</v>
      </c>
      <c r="H81">
        <f t="shared" si="12"/>
        <v>-456.16039999999998</v>
      </c>
      <c r="I81">
        <f t="shared" si="13"/>
        <v>208082.31052815999</v>
      </c>
    </row>
    <row r="82" spans="1:9" x14ac:dyDescent="0.3">
      <c r="A82">
        <v>3.8</v>
      </c>
      <c r="B82">
        <v>474</v>
      </c>
      <c r="C82">
        <f t="shared" si="7"/>
        <v>14.44</v>
      </c>
      <c r="D82">
        <f t="shared" si="8"/>
        <v>1801.1999999999998</v>
      </c>
      <c r="E82">
        <f t="shared" si="9"/>
        <v>583.72916399999997</v>
      </c>
      <c r="F82">
        <f t="shared" si="10"/>
        <v>-109.72916399999997</v>
      </c>
      <c r="G82">
        <f t="shared" si="11"/>
        <v>12040.489432138889</v>
      </c>
      <c r="H82">
        <f t="shared" si="12"/>
        <v>-412.16039999999998</v>
      </c>
      <c r="I82">
        <f t="shared" si="13"/>
        <v>169876.19532815999</v>
      </c>
    </row>
    <row r="83" spans="1:9" x14ac:dyDescent="0.3">
      <c r="A83">
        <v>22</v>
      </c>
      <c r="B83">
        <v>1249</v>
      </c>
      <c r="C83">
        <f t="shared" si="7"/>
        <v>484</v>
      </c>
      <c r="D83">
        <f t="shared" si="8"/>
        <v>27478</v>
      </c>
      <c r="E83">
        <f t="shared" si="9"/>
        <v>967.82705999999996</v>
      </c>
      <c r="F83">
        <f t="shared" si="10"/>
        <v>281.17294000000004</v>
      </c>
      <c r="G83">
        <f t="shared" si="11"/>
        <v>79058.222188243628</v>
      </c>
      <c r="H83">
        <f t="shared" si="12"/>
        <v>362.83960000000002</v>
      </c>
      <c r="I83">
        <f t="shared" si="13"/>
        <v>131652.57532816002</v>
      </c>
    </row>
    <row r="84" spans="1:9" x14ac:dyDescent="0.3">
      <c r="A84">
        <v>13.8</v>
      </c>
      <c r="B84">
        <v>923</v>
      </c>
      <c r="C84">
        <f t="shared" si="7"/>
        <v>190.44000000000003</v>
      </c>
      <c r="D84">
        <f t="shared" si="8"/>
        <v>12737.400000000001</v>
      </c>
      <c r="E84">
        <f t="shared" si="9"/>
        <v>794.77196400000003</v>
      </c>
      <c r="F84">
        <f t="shared" si="10"/>
        <v>128.22803599999997</v>
      </c>
      <c r="G84">
        <f t="shared" si="11"/>
        <v>16442.429216417291</v>
      </c>
      <c r="H84">
        <f t="shared" si="12"/>
        <v>36.839600000000019</v>
      </c>
      <c r="I84">
        <f t="shared" si="13"/>
        <v>1357.1561281600013</v>
      </c>
    </row>
    <row r="85" spans="1:9" x14ac:dyDescent="0.3">
      <c r="A85">
        <v>8.1</v>
      </c>
      <c r="B85">
        <v>766</v>
      </c>
      <c r="C85">
        <f t="shared" si="7"/>
        <v>65.61</v>
      </c>
      <c r="D85">
        <f t="shared" si="8"/>
        <v>6204.5999999999995</v>
      </c>
      <c r="E85">
        <f t="shared" si="9"/>
        <v>674.47756800000002</v>
      </c>
      <c r="F85">
        <f t="shared" si="10"/>
        <v>91.522431999999981</v>
      </c>
      <c r="G85">
        <f t="shared" si="11"/>
        <v>8376.3555591946206</v>
      </c>
      <c r="H85">
        <f t="shared" si="12"/>
        <v>-120.16039999999998</v>
      </c>
      <c r="I85">
        <f t="shared" si="13"/>
        <v>14438.521728159996</v>
      </c>
    </row>
    <row r="86" spans="1:9" x14ac:dyDescent="0.3">
      <c r="A86">
        <v>17.5</v>
      </c>
      <c r="B86">
        <v>1340</v>
      </c>
      <c r="C86">
        <f t="shared" si="7"/>
        <v>306.25</v>
      </c>
      <c r="D86">
        <f t="shared" si="8"/>
        <v>23450</v>
      </c>
      <c r="E86">
        <f t="shared" si="9"/>
        <v>872.8578</v>
      </c>
      <c r="F86">
        <f t="shared" si="10"/>
        <v>467.1422</v>
      </c>
      <c r="G86">
        <f t="shared" si="11"/>
        <v>218221.83502083999</v>
      </c>
      <c r="H86">
        <f t="shared" si="12"/>
        <v>453.83960000000002</v>
      </c>
      <c r="I86">
        <f t="shared" si="13"/>
        <v>205970.38252816003</v>
      </c>
    </row>
    <row r="87" spans="1:9" x14ac:dyDescent="0.3">
      <c r="A87">
        <v>25.5</v>
      </c>
      <c r="B87">
        <v>1302</v>
      </c>
      <c r="C87">
        <f t="shared" si="7"/>
        <v>650.25</v>
      </c>
      <c r="D87">
        <f t="shared" si="8"/>
        <v>33201</v>
      </c>
      <c r="E87">
        <f t="shared" si="9"/>
        <v>1041.6920399999999</v>
      </c>
      <c r="F87">
        <f t="shared" si="10"/>
        <v>260.30796000000009</v>
      </c>
      <c r="G87">
        <f t="shared" si="11"/>
        <v>67760.234039361647</v>
      </c>
      <c r="H87">
        <f t="shared" si="12"/>
        <v>415.83960000000002</v>
      </c>
      <c r="I87">
        <f t="shared" si="13"/>
        <v>172922.57292816002</v>
      </c>
    </row>
    <row r="88" spans="1:9" x14ac:dyDescent="0.3">
      <c r="A88">
        <v>25.8</v>
      </c>
      <c r="B88">
        <v>1212</v>
      </c>
      <c r="C88">
        <f t="shared" si="7"/>
        <v>665.64</v>
      </c>
      <c r="D88">
        <f t="shared" si="8"/>
        <v>31269.600000000002</v>
      </c>
      <c r="E88">
        <f t="shared" si="9"/>
        <v>1048.023324</v>
      </c>
      <c r="F88">
        <f t="shared" si="10"/>
        <v>163.976676</v>
      </c>
      <c r="G88">
        <f t="shared" si="11"/>
        <v>26888.350272008975</v>
      </c>
      <c r="H88">
        <f t="shared" si="12"/>
        <v>325.83960000000002</v>
      </c>
      <c r="I88">
        <f t="shared" si="13"/>
        <v>106171.44492816001</v>
      </c>
    </row>
    <row r="89" spans="1:9" x14ac:dyDescent="0.3">
      <c r="A89">
        <v>6.9</v>
      </c>
      <c r="B89">
        <v>717</v>
      </c>
      <c r="C89">
        <f t="shared" si="7"/>
        <v>47.610000000000007</v>
      </c>
      <c r="D89">
        <f t="shared" si="8"/>
        <v>4947.3</v>
      </c>
      <c r="E89">
        <f t="shared" si="9"/>
        <v>649.15243199999998</v>
      </c>
      <c r="F89">
        <f t="shared" si="10"/>
        <v>67.847568000000024</v>
      </c>
      <c r="G89">
        <f t="shared" si="11"/>
        <v>4603.2924835146268</v>
      </c>
      <c r="H89">
        <f t="shared" si="12"/>
        <v>-169.16039999999998</v>
      </c>
      <c r="I89">
        <f t="shared" si="13"/>
        <v>28615.240928159994</v>
      </c>
    </row>
    <row r="90" spans="1:9" x14ac:dyDescent="0.3">
      <c r="A90">
        <v>22.1</v>
      </c>
      <c r="B90">
        <v>1155</v>
      </c>
      <c r="C90">
        <f t="shared" si="7"/>
        <v>488.41000000000008</v>
      </c>
      <c r="D90">
        <f t="shared" si="8"/>
        <v>25525.5</v>
      </c>
      <c r="E90">
        <f t="shared" si="9"/>
        <v>969.93748800000003</v>
      </c>
      <c r="F90">
        <f t="shared" si="10"/>
        <v>185.06251199999997</v>
      </c>
      <c r="G90">
        <f t="shared" si="11"/>
        <v>34248.133347750132</v>
      </c>
      <c r="H90">
        <f t="shared" si="12"/>
        <v>268.83960000000002</v>
      </c>
      <c r="I90">
        <f t="shared" si="13"/>
        <v>72274.730528160013</v>
      </c>
    </row>
    <row r="91" spans="1:9" x14ac:dyDescent="0.3">
      <c r="A91">
        <v>9.6999999999999993</v>
      </c>
      <c r="B91">
        <v>618</v>
      </c>
      <c r="C91">
        <f t="shared" si="7"/>
        <v>94.089999999999989</v>
      </c>
      <c r="D91">
        <f t="shared" si="8"/>
        <v>5994.5999999999995</v>
      </c>
      <c r="E91">
        <f t="shared" si="9"/>
        <v>708.244416</v>
      </c>
      <c r="F91">
        <f t="shared" si="10"/>
        <v>-90.244416000000001</v>
      </c>
      <c r="G91">
        <f t="shared" si="11"/>
        <v>8144.0546191810563</v>
      </c>
      <c r="H91">
        <f t="shared" si="12"/>
        <v>-268.16039999999998</v>
      </c>
      <c r="I91">
        <f t="shared" si="13"/>
        <v>71910.000128159983</v>
      </c>
    </row>
    <row r="92" spans="1:9" x14ac:dyDescent="0.3">
      <c r="A92">
        <v>4.4000000000000004</v>
      </c>
      <c r="B92">
        <v>551</v>
      </c>
      <c r="C92">
        <f t="shared" si="7"/>
        <v>19.360000000000003</v>
      </c>
      <c r="D92">
        <f t="shared" si="8"/>
        <v>2424.4</v>
      </c>
      <c r="E92">
        <f t="shared" si="9"/>
        <v>596.39173200000005</v>
      </c>
      <c r="F92">
        <f t="shared" si="10"/>
        <v>-45.391732000000047</v>
      </c>
      <c r="G92">
        <f t="shared" si="11"/>
        <v>2060.4093339598285</v>
      </c>
      <c r="H92">
        <f t="shared" si="12"/>
        <v>-335.16039999999998</v>
      </c>
      <c r="I92">
        <f t="shared" si="13"/>
        <v>112332.49372815999</v>
      </c>
    </row>
    <row r="93" spans="1:9" x14ac:dyDescent="0.3">
      <c r="A93">
        <v>4.7</v>
      </c>
      <c r="B93">
        <v>553</v>
      </c>
      <c r="C93">
        <f t="shared" si="7"/>
        <v>22.090000000000003</v>
      </c>
      <c r="D93">
        <f t="shared" si="8"/>
        <v>2599.1</v>
      </c>
      <c r="E93">
        <f t="shared" si="9"/>
        <v>602.72301600000003</v>
      </c>
      <c r="F93">
        <f t="shared" si="10"/>
        <v>-49.72301600000003</v>
      </c>
      <c r="G93">
        <f t="shared" si="11"/>
        <v>2472.3783201362589</v>
      </c>
      <c r="H93">
        <f t="shared" si="12"/>
        <v>-333.16039999999998</v>
      </c>
      <c r="I93">
        <f t="shared" si="13"/>
        <v>110995.85212815998</v>
      </c>
    </row>
    <row r="94" spans="1:9" x14ac:dyDescent="0.3">
      <c r="A94">
        <v>40.6</v>
      </c>
      <c r="B94">
        <v>968</v>
      </c>
      <c r="C94">
        <f t="shared" si="7"/>
        <v>1648.3600000000001</v>
      </c>
      <c r="D94">
        <f t="shared" si="8"/>
        <v>39300.800000000003</v>
      </c>
      <c r="E94">
        <f t="shared" si="9"/>
        <v>1360.3666679999999</v>
      </c>
      <c r="F94">
        <f t="shared" si="10"/>
        <v>-392.36666799999989</v>
      </c>
      <c r="G94">
        <f t="shared" si="11"/>
        <v>153951.60215742214</v>
      </c>
      <c r="H94">
        <f t="shared" si="12"/>
        <v>81.839600000000019</v>
      </c>
      <c r="I94">
        <f t="shared" si="13"/>
        <v>6697.7201281600028</v>
      </c>
    </row>
    <row r="95" spans="1:9" x14ac:dyDescent="0.3">
      <c r="A95">
        <v>19.899999999999999</v>
      </c>
      <c r="B95">
        <v>996</v>
      </c>
      <c r="C95">
        <f t="shared" si="7"/>
        <v>396.00999999999993</v>
      </c>
      <c r="D95">
        <f t="shared" si="8"/>
        <v>19820.399999999998</v>
      </c>
      <c r="E95">
        <f t="shared" si="9"/>
        <v>923.50807199999986</v>
      </c>
      <c r="F95">
        <f t="shared" si="10"/>
        <v>72.491928000000144</v>
      </c>
      <c r="G95">
        <f t="shared" si="11"/>
        <v>5255.0796251572046</v>
      </c>
      <c r="H95">
        <f t="shared" si="12"/>
        <v>109.83960000000002</v>
      </c>
      <c r="I95">
        <f t="shared" si="13"/>
        <v>12064.737728160004</v>
      </c>
    </row>
    <row r="96" spans="1:9" x14ac:dyDescent="0.3">
      <c r="A96">
        <v>7.3</v>
      </c>
      <c r="B96">
        <v>819</v>
      </c>
      <c r="C96">
        <f t="shared" si="7"/>
        <v>53.29</v>
      </c>
      <c r="D96">
        <f t="shared" si="8"/>
        <v>5978.7</v>
      </c>
      <c r="E96">
        <f t="shared" si="9"/>
        <v>657.59414399999991</v>
      </c>
      <c r="F96">
        <f t="shared" si="10"/>
        <v>161.40585600000009</v>
      </c>
      <c r="G96">
        <f t="shared" si="11"/>
        <v>26051.850351092762</v>
      </c>
      <c r="H96">
        <f t="shared" si="12"/>
        <v>-67.160399999999981</v>
      </c>
      <c r="I96">
        <f t="shared" si="13"/>
        <v>4510.5193281599977</v>
      </c>
    </row>
    <row r="97" spans="1:9" x14ac:dyDescent="0.3">
      <c r="A97">
        <v>36.299999999999997</v>
      </c>
      <c r="B97">
        <v>1127</v>
      </c>
      <c r="C97">
        <f t="shared" si="7"/>
        <v>1317.6899999999998</v>
      </c>
      <c r="D97">
        <f t="shared" si="8"/>
        <v>40910.1</v>
      </c>
      <c r="E97">
        <f t="shared" si="9"/>
        <v>1269.618264</v>
      </c>
      <c r="F97">
        <f t="shared" si="10"/>
        <v>-142.61826399999995</v>
      </c>
      <c r="G97">
        <f t="shared" si="11"/>
        <v>20339.969226373683</v>
      </c>
      <c r="H97">
        <f t="shared" si="12"/>
        <v>240.83960000000002</v>
      </c>
      <c r="I97">
        <f t="shared" si="13"/>
        <v>58003.712928160006</v>
      </c>
    </row>
    <row r="98" spans="1:9" x14ac:dyDescent="0.3">
      <c r="A98">
        <v>16.8</v>
      </c>
      <c r="B98">
        <v>858</v>
      </c>
      <c r="C98">
        <f t="shared" si="7"/>
        <v>282.24</v>
      </c>
      <c r="D98">
        <f t="shared" si="8"/>
        <v>14414.400000000001</v>
      </c>
      <c r="E98">
        <f t="shared" si="9"/>
        <v>858.08480399999996</v>
      </c>
      <c r="F98">
        <f t="shared" si="10"/>
        <v>-8.4803999999962798E-2</v>
      </c>
      <c r="G98">
        <f t="shared" si="11"/>
        <v>7.1917184159936906E-3</v>
      </c>
      <c r="H98">
        <f t="shared" si="12"/>
        <v>-28.160399999999981</v>
      </c>
      <c r="I98">
        <f t="shared" si="13"/>
        <v>793.00812815999893</v>
      </c>
    </row>
    <row r="99" spans="1:9" x14ac:dyDescent="0.3">
      <c r="A99">
        <v>10.6</v>
      </c>
      <c r="B99">
        <v>786</v>
      </c>
      <c r="C99">
        <f t="shared" si="7"/>
        <v>112.36</v>
      </c>
      <c r="D99">
        <f t="shared" si="8"/>
        <v>8331.6</v>
      </c>
      <c r="E99">
        <f t="shared" si="9"/>
        <v>727.23826799999995</v>
      </c>
      <c r="F99">
        <f t="shared" si="10"/>
        <v>58.761732000000052</v>
      </c>
      <c r="G99">
        <f t="shared" si="11"/>
        <v>3452.94114763983</v>
      </c>
      <c r="H99">
        <f t="shared" si="12"/>
        <v>-100.16039999999998</v>
      </c>
      <c r="I99">
        <f t="shared" si="13"/>
        <v>10032.105728159997</v>
      </c>
    </row>
    <row r="100" spans="1:9" x14ac:dyDescent="0.3">
      <c r="A100">
        <v>9.3000000000000007</v>
      </c>
      <c r="B100">
        <v>899</v>
      </c>
      <c r="C100">
        <f t="shared" si="7"/>
        <v>86.490000000000009</v>
      </c>
      <c r="D100">
        <f t="shared" si="8"/>
        <v>8360.7000000000007</v>
      </c>
      <c r="E100">
        <f t="shared" si="9"/>
        <v>699.80270399999995</v>
      </c>
      <c r="F100">
        <f t="shared" si="10"/>
        <v>199.19729600000005</v>
      </c>
      <c r="G100">
        <f t="shared" si="11"/>
        <v>39679.562733711638</v>
      </c>
      <c r="H100">
        <f t="shared" si="12"/>
        <v>12.839600000000019</v>
      </c>
      <c r="I100">
        <f t="shared" si="13"/>
        <v>164.85532816000048</v>
      </c>
    </row>
    <row r="101" spans="1:9" x14ac:dyDescent="0.3">
      <c r="A101">
        <v>5.4</v>
      </c>
      <c r="B101">
        <v>526</v>
      </c>
      <c r="C101">
        <f t="shared" si="7"/>
        <v>29.160000000000004</v>
      </c>
      <c r="D101">
        <f t="shared" si="8"/>
        <v>2840.4</v>
      </c>
      <c r="E101">
        <f t="shared" si="9"/>
        <v>617.49601199999995</v>
      </c>
      <c r="F101">
        <f t="shared" si="10"/>
        <v>-91.496011999999951</v>
      </c>
      <c r="G101">
        <f t="shared" si="11"/>
        <v>8371.5202119041351</v>
      </c>
      <c r="H101">
        <f t="shared" si="12"/>
        <v>-360.16039999999998</v>
      </c>
      <c r="I101">
        <f t="shared" si="13"/>
        <v>129715.51372815999</v>
      </c>
    </row>
    <row r="102" spans="1:9" x14ac:dyDescent="0.3">
      <c r="A102">
        <v>22.5</v>
      </c>
      <c r="B102">
        <v>1104</v>
      </c>
      <c r="C102">
        <f t="shared" si="7"/>
        <v>506.25</v>
      </c>
      <c r="D102">
        <f t="shared" si="8"/>
        <v>24840</v>
      </c>
      <c r="E102">
        <f t="shared" si="9"/>
        <v>978.37919999999997</v>
      </c>
      <c r="F102">
        <f t="shared" si="10"/>
        <v>125.62080000000003</v>
      </c>
      <c r="G102">
        <f t="shared" si="11"/>
        <v>15780.585392640009</v>
      </c>
      <c r="H102">
        <f t="shared" si="12"/>
        <v>217.83960000000002</v>
      </c>
      <c r="I102">
        <f t="shared" si="13"/>
        <v>47454.091328160008</v>
      </c>
    </row>
    <row r="103" spans="1:9" x14ac:dyDescent="0.3">
      <c r="A103">
        <v>47.2</v>
      </c>
      <c r="B103">
        <v>1347</v>
      </c>
      <c r="C103">
        <f t="shared" si="7"/>
        <v>2227.84</v>
      </c>
      <c r="D103">
        <f t="shared" si="8"/>
        <v>63578.400000000001</v>
      </c>
      <c r="E103">
        <f t="shared" si="9"/>
        <v>1499.654916</v>
      </c>
      <c r="F103">
        <f t="shared" si="10"/>
        <v>-152.65491599999996</v>
      </c>
      <c r="G103">
        <f t="shared" si="11"/>
        <v>23303.523378967042</v>
      </c>
      <c r="H103">
        <f t="shared" si="12"/>
        <v>460.83960000000002</v>
      </c>
      <c r="I103">
        <f t="shared" si="13"/>
        <v>212373.13692816001</v>
      </c>
    </row>
    <row r="104" spans="1:9" x14ac:dyDescent="0.3">
      <c r="A104">
        <v>9.3000000000000007</v>
      </c>
      <c r="B104">
        <v>815</v>
      </c>
      <c r="C104">
        <f t="shared" si="7"/>
        <v>86.490000000000009</v>
      </c>
      <c r="D104">
        <f t="shared" si="8"/>
        <v>7579.5000000000009</v>
      </c>
      <c r="E104">
        <f t="shared" si="9"/>
        <v>699.80270399999995</v>
      </c>
      <c r="F104">
        <f t="shared" si="10"/>
        <v>115.19729600000005</v>
      </c>
      <c r="G104">
        <f t="shared" si="11"/>
        <v>13270.417005711628</v>
      </c>
      <c r="H104">
        <f t="shared" si="12"/>
        <v>-71.160399999999981</v>
      </c>
      <c r="I104">
        <f t="shared" si="13"/>
        <v>5063.8025281599976</v>
      </c>
    </row>
    <row r="105" spans="1:9" x14ac:dyDescent="0.3">
      <c r="A105">
        <v>6.6</v>
      </c>
      <c r="B105">
        <v>1113</v>
      </c>
      <c r="C105">
        <f t="shared" si="7"/>
        <v>43.559999999999995</v>
      </c>
      <c r="D105">
        <f t="shared" si="8"/>
        <v>7345.7999999999993</v>
      </c>
      <c r="E105">
        <f t="shared" si="9"/>
        <v>642.82114799999999</v>
      </c>
      <c r="F105">
        <f t="shared" si="10"/>
        <v>470.17885200000001</v>
      </c>
      <c r="G105">
        <f t="shared" si="11"/>
        <v>221068.1528680379</v>
      </c>
      <c r="H105">
        <f t="shared" si="12"/>
        <v>226.83960000000002</v>
      </c>
      <c r="I105">
        <f t="shared" si="13"/>
        <v>51456.20412816001</v>
      </c>
    </row>
    <row r="106" spans="1:9" x14ac:dyDescent="0.3">
      <c r="A106">
        <v>12.6</v>
      </c>
      <c r="B106">
        <v>1427</v>
      </c>
      <c r="C106">
        <f t="shared" si="7"/>
        <v>158.76</v>
      </c>
      <c r="D106">
        <f t="shared" si="8"/>
        <v>17980.2</v>
      </c>
      <c r="E106">
        <f t="shared" si="9"/>
        <v>769.44682799999998</v>
      </c>
      <c r="F106">
        <f t="shared" si="10"/>
        <v>657.55317200000002</v>
      </c>
      <c r="G106">
        <f t="shared" si="11"/>
        <v>432376.17400726158</v>
      </c>
      <c r="H106">
        <f t="shared" si="12"/>
        <v>540.83960000000002</v>
      </c>
      <c r="I106">
        <f t="shared" si="13"/>
        <v>292507.47292816004</v>
      </c>
    </row>
    <row r="107" spans="1:9" x14ac:dyDescent="0.3">
      <c r="A107">
        <v>9.3000000000000007</v>
      </c>
      <c r="B107">
        <v>743</v>
      </c>
      <c r="C107">
        <f t="shared" si="7"/>
        <v>86.490000000000009</v>
      </c>
      <c r="D107">
        <f t="shared" si="8"/>
        <v>6909.9000000000005</v>
      </c>
      <c r="E107">
        <f t="shared" si="9"/>
        <v>699.80270399999995</v>
      </c>
      <c r="F107">
        <f t="shared" si="10"/>
        <v>43.197296000000051</v>
      </c>
      <c r="G107">
        <f t="shared" si="11"/>
        <v>1866.0063817116204</v>
      </c>
      <c r="H107">
        <f t="shared" si="12"/>
        <v>-143.16039999999998</v>
      </c>
      <c r="I107">
        <f t="shared" si="13"/>
        <v>20494.900128159996</v>
      </c>
    </row>
    <row r="108" spans="1:9" x14ac:dyDescent="0.3">
      <c r="A108">
        <v>2.5</v>
      </c>
      <c r="B108">
        <v>724</v>
      </c>
      <c r="C108">
        <f t="shared" si="7"/>
        <v>6.25</v>
      </c>
      <c r="D108">
        <f t="shared" si="8"/>
        <v>1810</v>
      </c>
      <c r="E108">
        <f t="shared" si="9"/>
        <v>556.29359999999997</v>
      </c>
      <c r="F108">
        <f t="shared" si="10"/>
        <v>167.70640000000003</v>
      </c>
      <c r="G108">
        <f t="shared" si="11"/>
        <v>28125.436600960009</v>
      </c>
      <c r="H108">
        <f t="shared" si="12"/>
        <v>-162.16039999999998</v>
      </c>
      <c r="I108">
        <f t="shared" si="13"/>
        <v>26295.995328159996</v>
      </c>
    </row>
    <row r="109" spans="1:9" x14ac:dyDescent="0.3">
      <c r="A109">
        <v>4.4000000000000004</v>
      </c>
      <c r="B109">
        <v>344</v>
      </c>
      <c r="C109">
        <f t="shared" si="7"/>
        <v>19.360000000000003</v>
      </c>
      <c r="D109">
        <f t="shared" si="8"/>
        <v>1513.6000000000001</v>
      </c>
      <c r="E109">
        <f t="shared" si="9"/>
        <v>596.39173200000005</v>
      </c>
      <c r="F109">
        <f t="shared" si="10"/>
        <v>-252.39173200000005</v>
      </c>
      <c r="G109">
        <f t="shared" si="11"/>
        <v>63701.586381959845</v>
      </c>
      <c r="H109">
        <f t="shared" si="12"/>
        <v>-542.16039999999998</v>
      </c>
      <c r="I109">
        <f t="shared" si="13"/>
        <v>293937.89932815998</v>
      </c>
    </row>
    <row r="110" spans="1:9" x14ac:dyDescent="0.3">
      <c r="A110">
        <v>27.6</v>
      </c>
      <c r="B110">
        <v>1089</v>
      </c>
      <c r="C110">
        <f t="shared" si="7"/>
        <v>761.7600000000001</v>
      </c>
      <c r="D110">
        <f t="shared" si="8"/>
        <v>30056.400000000001</v>
      </c>
      <c r="E110">
        <f t="shared" si="9"/>
        <v>1086.0110279999999</v>
      </c>
      <c r="F110">
        <f t="shared" si="10"/>
        <v>2.9889720000001034</v>
      </c>
      <c r="G110">
        <f t="shared" si="11"/>
        <v>8.9339536167846187</v>
      </c>
      <c r="H110">
        <f t="shared" si="12"/>
        <v>202.83960000000002</v>
      </c>
      <c r="I110">
        <f t="shared" si="13"/>
        <v>41143.903328160006</v>
      </c>
    </row>
    <row r="111" spans="1:9" x14ac:dyDescent="0.3">
      <c r="A111">
        <v>6.3</v>
      </c>
      <c r="B111">
        <v>839</v>
      </c>
      <c r="C111">
        <f t="shared" si="7"/>
        <v>39.69</v>
      </c>
      <c r="D111">
        <f t="shared" si="8"/>
        <v>5285.7</v>
      </c>
      <c r="E111">
        <f t="shared" si="9"/>
        <v>636.48986400000001</v>
      </c>
      <c r="F111">
        <f t="shared" si="10"/>
        <v>202.51013599999999</v>
      </c>
      <c r="G111">
        <f t="shared" si="11"/>
        <v>41010.355182738494</v>
      </c>
      <c r="H111">
        <f t="shared" si="12"/>
        <v>-47.160399999999981</v>
      </c>
      <c r="I111">
        <f t="shared" si="13"/>
        <v>2224.1033281599985</v>
      </c>
    </row>
    <row r="112" spans="1:9" x14ac:dyDescent="0.3">
      <c r="A112">
        <v>13.4</v>
      </c>
      <c r="B112">
        <v>200</v>
      </c>
      <c r="C112">
        <f t="shared" si="7"/>
        <v>179.56</v>
      </c>
      <c r="D112">
        <f t="shared" si="8"/>
        <v>2680</v>
      </c>
      <c r="E112">
        <f t="shared" si="9"/>
        <v>786.33025199999997</v>
      </c>
      <c r="F112">
        <f t="shared" si="10"/>
        <v>-586.33025199999997</v>
      </c>
      <c r="G112">
        <f t="shared" si="11"/>
        <v>343783.1644103835</v>
      </c>
      <c r="H112">
        <f t="shared" si="12"/>
        <v>-686.16039999999998</v>
      </c>
      <c r="I112">
        <f t="shared" si="13"/>
        <v>470816.09452816</v>
      </c>
    </row>
    <row r="113" spans="1:9" x14ac:dyDescent="0.3">
      <c r="A113">
        <v>16.5</v>
      </c>
      <c r="B113">
        <v>837</v>
      </c>
      <c r="C113">
        <f t="shared" si="7"/>
        <v>272.25</v>
      </c>
      <c r="D113">
        <f t="shared" si="8"/>
        <v>13810.5</v>
      </c>
      <c r="E113">
        <f t="shared" si="9"/>
        <v>851.75351999999998</v>
      </c>
      <c r="F113">
        <f t="shared" si="10"/>
        <v>-14.75351999999998</v>
      </c>
      <c r="G113">
        <f t="shared" si="11"/>
        <v>217.66635239039942</v>
      </c>
      <c r="H113">
        <f t="shared" si="12"/>
        <v>-49.160399999999981</v>
      </c>
      <c r="I113">
        <f t="shared" si="13"/>
        <v>2416.7449281599984</v>
      </c>
    </row>
    <row r="114" spans="1:9" x14ac:dyDescent="0.3">
      <c r="A114">
        <v>10.5</v>
      </c>
      <c r="B114">
        <v>790</v>
      </c>
      <c r="C114">
        <f t="shared" si="7"/>
        <v>110.25</v>
      </c>
      <c r="D114">
        <f t="shared" si="8"/>
        <v>8295</v>
      </c>
      <c r="E114">
        <f t="shared" si="9"/>
        <v>725.12783999999999</v>
      </c>
      <c r="F114">
        <f t="shared" si="10"/>
        <v>64.872160000000008</v>
      </c>
      <c r="G114">
        <f t="shared" si="11"/>
        <v>4208.3971430656011</v>
      </c>
      <c r="H114">
        <f t="shared" si="12"/>
        <v>-96.160399999999981</v>
      </c>
      <c r="I114">
        <f t="shared" si="13"/>
        <v>9246.8225281599971</v>
      </c>
    </row>
    <row r="115" spans="1:9" x14ac:dyDescent="0.3">
      <c r="A115">
        <v>35</v>
      </c>
      <c r="B115">
        <v>1083</v>
      </c>
      <c r="C115">
        <f t="shared" si="7"/>
        <v>1225</v>
      </c>
      <c r="D115">
        <f t="shared" si="8"/>
        <v>37905</v>
      </c>
      <c r="E115">
        <f t="shared" si="9"/>
        <v>1242.1827000000001</v>
      </c>
      <c r="F115">
        <f t="shared" si="10"/>
        <v>-159.18270000000007</v>
      </c>
      <c r="G115">
        <f t="shared" si="11"/>
        <v>25339.131979290021</v>
      </c>
      <c r="H115">
        <f t="shared" si="12"/>
        <v>196.83960000000002</v>
      </c>
      <c r="I115">
        <f t="shared" si="13"/>
        <v>38745.828128160007</v>
      </c>
    </row>
    <row r="116" spans="1:9" x14ac:dyDescent="0.3">
      <c r="A116">
        <v>28.4</v>
      </c>
      <c r="B116">
        <v>705</v>
      </c>
      <c r="C116">
        <f t="shared" si="7"/>
        <v>806.56</v>
      </c>
      <c r="D116">
        <f t="shared" si="8"/>
        <v>20022</v>
      </c>
      <c r="E116">
        <f t="shared" si="9"/>
        <v>1102.894452</v>
      </c>
      <c r="F116">
        <f t="shared" si="10"/>
        <v>-397.894452</v>
      </c>
      <c r="G116">
        <f t="shared" si="11"/>
        <v>158319.9949323803</v>
      </c>
      <c r="H116">
        <f t="shared" si="12"/>
        <v>-181.16039999999998</v>
      </c>
      <c r="I116">
        <f t="shared" si="13"/>
        <v>32819.090528159992</v>
      </c>
    </row>
    <row r="117" spans="1:9" x14ac:dyDescent="0.3">
      <c r="A117">
        <v>14.9</v>
      </c>
      <c r="B117">
        <v>794</v>
      </c>
      <c r="C117">
        <f t="shared" si="7"/>
        <v>222.01000000000002</v>
      </c>
      <c r="D117">
        <f t="shared" si="8"/>
        <v>11830.6</v>
      </c>
      <c r="E117">
        <f t="shared" si="9"/>
        <v>817.986672</v>
      </c>
      <c r="F117">
        <f t="shared" si="10"/>
        <v>-23.986671999999999</v>
      </c>
      <c r="G117">
        <f t="shared" si="11"/>
        <v>575.36043363558395</v>
      </c>
      <c r="H117">
        <f t="shared" si="12"/>
        <v>-92.160399999999981</v>
      </c>
      <c r="I117">
        <f t="shared" si="13"/>
        <v>8493.5393281599972</v>
      </c>
    </row>
    <row r="118" spans="1:9" x14ac:dyDescent="0.3">
      <c r="A118">
        <v>12.5</v>
      </c>
      <c r="B118">
        <v>865</v>
      </c>
      <c r="C118">
        <f t="shared" si="7"/>
        <v>156.25</v>
      </c>
      <c r="D118">
        <f t="shared" si="8"/>
        <v>10812.5</v>
      </c>
      <c r="E118">
        <f t="shared" si="9"/>
        <v>767.33639999999991</v>
      </c>
      <c r="F118">
        <f t="shared" si="10"/>
        <v>97.663600000000088</v>
      </c>
      <c r="G118">
        <f t="shared" si="11"/>
        <v>9538.1787649600174</v>
      </c>
      <c r="H118">
        <f t="shared" si="12"/>
        <v>-21.160399999999981</v>
      </c>
      <c r="I118">
        <f t="shared" si="13"/>
        <v>447.76252815999919</v>
      </c>
    </row>
    <row r="119" spans="1:9" x14ac:dyDescent="0.3">
      <c r="A119">
        <v>27.8</v>
      </c>
      <c r="B119">
        <v>848</v>
      </c>
      <c r="C119">
        <f t="shared" si="7"/>
        <v>772.84</v>
      </c>
      <c r="D119">
        <f t="shared" si="8"/>
        <v>23574.400000000001</v>
      </c>
      <c r="E119">
        <f t="shared" si="9"/>
        <v>1090.231884</v>
      </c>
      <c r="F119">
        <f t="shared" si="10"/>
        <v>-242.23188400000004</v>
      </c>
      <c r="G119">
        <f t="shared" si="11"/>
        <v>58676.28562618947</v>
      </c>
      <c r="H119">
        <f t="shared" si="12"/>
        <v>-38.160399999999981</v>
      </c>
      <c r="I119">
        <f t="shared" si="13"/>
        <v>1456.2161281599986</v>
      </c>
    </row>
    <row r="120" spans="1:9" x14ac:dyDescent="0.3">
      <c r="A120">
        <v>24.2</v>
      </c>
      <c r="B120">
        <v>1370</v>
      </c>
      <c r="C120">
        <f t="shared" si="7"/>
        <v>585.64</v>
      </c>
      <c r="D120">
        <f t="shared" si="8"/>
        <v>33154</v>
      </c>
      <c r="E120">
        <f t="shared" si="9"/>
        <v>1014.256476</v>
      </c>
      <c r="F120">
        <f t="shared" si="10"/>
        <v>355.74352399999998</v>
      </c>
      <c r="G120">
        <f t="shared" si="11"/>
        <v>126553.45486793856</v>
      </c>
      <c r="H120">
        <f t="shared" si="12"/>
        <v>483.83960000000002</v>
      </c>
      <c r="I120">
        <f t="shared" si="13"/>
        <v>234100.75852816002</v>
      </c>
    </row>
    <row r="121" spans="1:9" x14ac:dyDescent="0.3">
      <c r="A121">
        <v>17.2</v>
      </c>
      <c r="B121">
        <v>969</v>
      </c>
      <c r="C121">
        <f t="shared" si="7"/>
        <v>295.83999999999997</v>
      </c>
      <c r="D121">
        <f t="shared" si="8"/>
        <v>16666.8</v>
      </c>
      <c r="E121">
        <f t="shared" si="9"/>
        <v>866.5265159999999</v>
      </c>
      <c r="F121">
        <f t="shared" si="10"/>
        <v>102.4734840000001</v>
      </c>
      <c r="G121">
        <f t="shared" si="11"/>
        <v>10500.814923098276</v>
      </c>
      <c r="H121">
        <f t="shared" si="12"/>
        <v>82.839600000000019</v>
      </c>
      <c r="I121">
        <f t="shared" si="13"/>
        <v>6862.3993281600033</v>
      </c>
    </row>
    <row r="122" spans="1:9" x14ac:dyDescent="0.3">
      <c r="A122">
        <v>11.4</v>
      </c>
      <c r="B122">
        <v>637</v>
      </c>
      <c r="C122">
        <f t="shared" si="7"/>
        <v>129.96</v>
      </c>
      <c r="D122">
        <f t="shared" si="8"/>
        <v>7261.8</v>
      </c>
      <c r="E122">
        <f t="shared" si="9"/>
        <v>744.12169199999994</v>
      </c>
      <c r="F122">
        <f t="shared" si="10"/>
        <v>-107.12169199999994</v>
      </c>
      <c r="G122">
        <f t="shared" si="11"/>
        <v>11475.056896942851</v>
      </c>
      <c r="H122">
        <f t="shared" si="12"/>
        <v>-249.16039999999998</v>
      </c>
      <c r="I122">
        <f t="shared" si="13"/>
        <v>62080.904928159987</v>
      </c>
    </row>
    <row r="123" spans="1:9" x14ac:dyDescent="0.3">
      <c r="A123">
        <v>8.9</v>
      </c>
      <c r="B123">
        <v>557</v>
      </c>
      <c r="C123">
        <f t="shared" si="7"/>
        <v>79.210000000000008</v>
      </c>
      <c r="D123">
        <f t="shared" si="8"/>
        <v>4957.3</v>
      </c>
      <c r="E123">
        <f t="shared" si="9"/>
        <v>691.36099200000001</v>
      </c>
      <c r="F123">
        <f t="shared" si="10"/>
        <v>-134.36099200000001</v>
      </c>
      <c r="G123">
        <f t="shared" si="11"/>
        <v>18052.876171224067</v>
      </c>
      <c r="H123">
        <f t="shared" si="12"/>
        <v>-329.16039999999998</v>
      </c>
      <c r="I123">
        <f t="shared" si="13"/>
        <v>108346.56892815999</v>
      </c>
    </row>
    <row r="124" spans="1:9" x14ac:dyDescent="0.3">
      <c r="A124">
        <v>17.100000000000001</v>
      </c>
      <c r="B124">
        <v>921</v>
      </c>
      <c r="C124">
        <f t="shared" si="7"/>
        <v>292.41000000000003</v>
      </c>
      <c r="D124">
        <f t="shared" si="8"/>
        <v>15749.100000000002</v>
      </c>
      <c r="E124">
        <f t="shared" si="9"/>
        <v>864.41608799999995</v>
      </c>
      <c r="F124">
        <f t="shared" si="10"/>
        <v>56.583912000000055</v>
      </c>
      <c r="G124">
        <f t="shared" si="11"/>
        <v>3201.7390972237504</v>
      </c>
      <c r="H124">
        <f t="shared" si="12"/>
        <v>34.839600000000019</v>
      </c>
      <c r="I124">
        <f t="shared" si="13"/>
        <v>1213.7977281600013</v>
      </c>
    </row>
    <row r="125" spans="1:9" x14ac:dyDescent="0.3">
      <c r="A125">
        <v>17.3</v>
      </c>
      <c r="B125">
        <v>582</v>
      </c>
      <c r="C125">
        <f t="shared" si="7"/>
        <v>299.29000000000002</v>
      </c>
      <c r="D125">
        <f t="shared" si="8"/>
        <v>10068.6</v>
      </c>
      <c r="E125">
        <f t="shared" si="9"/>
        <v>868.63694399999997</v>
      </c>
      <c r="F125">
        <f t="shared" si="10"/>
        <v>-286.63694399999997</v>
      </c>
      <c r="G125">
        <f t="shared" si="11"/>
        <v>82160.737665659122</v>
      </c>
      <c r="H125">
        <f t="shared" si="12"/>
        <v>-304.16039999999998</v>
      </c>
      <c r="I125">
        <f t="shared" si="13"/>
        <v>92513.548928159988</v>
      </c>
    </row>
    <row r="126" spans="1:9" x14ac:dyDescent="0.3">
      <c r="A126">
        <v>27.3</v>
      </c>
      <c r="B126">
        <v>1132</v>
      </c>
      <c r="C126">
        <f t="shared" si="7"/>
        <v>745.29000000000008</v>
      </c>
      <c r="D126">
        <f t="shared" si="8"/>
        <v>30903.600000000002</v>
      </c>
      <c r="E126">
        <f t="shared" si="9"/>
        <v>1079.679744</v>
      </c>
      <c r="F126">
        <f t="shared" si="10"/>
        <v>52.320255999999972</v>
      </c>
      <c r="G126">
        <f t="shared" si="11"/>
        <v>2737.4091879055331</v>
      </c>
      <c r="H126">
        <f t="shared" si="12"/>
        <v>245.83960000000002</v>
      </c>
      <c r="I126">
        <f t="shared" si="13"/>
        <v>60437.108928160007</v>
      </c>
    </row>
    <row r="127" spans="1:9" x14ac:dyDescent="0.3">
      <c r="A127">
        <v>11.1</v>
      </c>
      <c r="B127">
        <v>1079</v>
      </c>
      <c r="C127">
        <f t="shared" si="7"/>
        <v>123.21</v>
      </c>
      <c r="D127">
        <f t="shared" si="8"/>
        <v>11976.9</v>
      </c>
      <c r="E127">
        <f t="shared" si="9"/>
        <v>737.79040799999996</v>
      </c>
      <c r="F127">
        <f t="shared" si="10"/>
        <v>341.20959200000004</v>
      </c>
      <c r="G127">
        <f t="shared" si="11"/>
        <v>116423.98567280649</v>
      </c>
      <c r="H127">
        <f t="shared" si="12"/>
        <v>192.83960000000002</v>
      </c>
      <c r="I127">
        <f t="shared" si="13"/>
        <v>37187.111328160005</v>
      </c>
    </row>
    <row r="128" spans="1:9" x14ac:dyDescent="0.3">
      <c r="A128">
        <v>14.6</v>
      </c>
      <c r="B128">
        <v>1249</v>
      </c>
      <c r="C128">
        <f t="shared" si="7"/>
        <v>213.16</v>
      </c>
      <c r="D128">
        <f t="shared" si="8"/>
        <v>18235.399999999998</v>
      </c>
      <c r="E128">
        <f t="shared" si="9"/>
        <v>811.6553879999999</v>
      </c>
      <c r="F128">
        <f t="shared" si="10"/>
        <v>437.3446120000001</v>
      </c>
      <c r="G128">
        <f t="shared" si="11"/>
        <v>191270.30964543062</v>
      </c>
      <c r="H128">
        <f t="shared" si="12"/>
        <v>362.83960000000002</v>
      </c>
      <c r="I128">
        <f t="shared" si="13"/>
        <v>131652.57532816002</v>
      </c>
    </row>
    <row r="129" spans="1:9" x14ac:dyDescent="0.3">
      <c r="A129">
        <v>17.600000000000001</v>
      </c>
      <c r="B129">
        <v>1051</v>
      </c>
      <c r="C129">
        <f t="shared" si="7"/>
        <v>309.76000000000005</v>
      </c>
      <c r="D129">
        <f t="shared" si="8"/>
        <v>18497.600000000002</v>
      </c>
      <c r="E129">
        <f t="shared" si="9"/>
        <v>874.96822799999995</v>
      </c>
      <c r="F129">
        <f t="shared" si="10"/>
        <v>176.03177200000005</v>
      </c>
      <c r="G129">
        <f t="shared" si="11"/>
        <v>30987.184753460002</v>
      </c>
      <c r="H129">
        <f t="shared" si="12"/>
        <v>164.83960000000002</v>
      </c>
      <c r="I129">
        <f t="shared" si="13"/>
        <v>27172.093728160005</v>
      </c>
    </row>
    <row r="130" spans="1:9" x14ac:dyDescent="0.3">
      <c r="A130">
        <v>7.2</v>
      </c>
      <c r="B130">
        <v>257</v>
      </c>
      <c r="C130">
        <f t="shared" si="7"/>
        <v>51.84</v>
      </c>
      <c r="D130">
        <f t="shared" si="8"/>
        <v>1850.4</v>
      </c>
      <c r="E130">
        <f t="shared" si="9"/>
        <v>655.48371599999996</v>
      </c>
      <c r="F130">
        <f t="shared" si="10"/>
        <v>-398.48371599999996</v>
      </c>
      <c r="G130">
        <f t="shared" si="11"/>
        <v>158789.27191716863</v>
      </c>
      <c r="H130">
        <f t="shared" si="12"/>
        <v>-629.16039999999998</v>
      </c>
      <c r="I130">
        <f t="shared" si="13"/>
        <v>395842.80892816</v>
      </c>
    </row>
    <row r="131" spans="1:9" x14ac:dyDescent="0.3">
      <c r="A131">
        <v>5.5</v>
      </c>
      <c r="B131">
        <v>334</v>
      </c>
      <c r="C131">
        <f t="shared" ref="C131:C194" si="14">PRODUCT(A131,A131)</f>
        <v>30.25</v>
      </c>
      <c r="D131">
        <f t="shared" ref="D131:D194" si="15">PRODUCT(A131,B131)</f>
        <v>1837</v>
      </c>
      <c r="E131">
        <f t="shared" ref="E131:E194" si="16">503.5329+PRODUCT(21.10428,A131)</f>
        <v>619.60644000000002</v>
      </c>
      <c r="F131">
        <f t="shared" ref="F131:F194" si="17">B131-E131</f>
        <v>-285.60644000000002</v>
      </c>
      <c r="G131">
        <f t="shared" ref="G131:G194" si="18">PRODUCT(F131,F131)</f>
        <v>81571.038569473618</v>
      </c>
      <c r="H131">
        <f t="shared" ref="H131:H194" si="19">B131-886.1604</f>
        <v>-552.16039999999998</v>
      </c>
      <c r="I131">
        <f t="shared" ref="I131:I194" si="20">PRODUCT(H131,H131)</f>
        <v>304881.10732815997</v>
      </c>
    </row>
    <row r="132" spans="1:9" x14ac:dyDescent="0.3">
      <c r="A132">
        <v>7.1</v>
      </c>
      <c r="B132">
        <v>621</v>
      </c>
      <c r="C132">
        <f t="shared" si="14"/>
        <v>50.41</v>
      </c>
      <c r="D132">
        <f t="shared" si="15"/>
        <v>4409.0999999999995</v>
      </c>
      <c r="E132">
        <f t="shared" si="16"/>
        <v>653.373288</v>
      </c>
      <c r="F132">
        <f t="shared" si="17"/>
        <v>-32.373288000000002</v>
      </c>
      <c r="G132">
        <f t="shared" si="18"/>
        <v>1048.0297759309442</v>
      </c>
      <c r="H132">
        <f t="shared" si="19"/>
        <v>-265.16039999999998</v>
      </c>
      <c r="I132">
        <f t="shared" si="20"/>
        <v>70310.037728159994</v>
      </c>
    </row>
    <row r="133" spans="1:9" x14ac:dyDescent="0.3">
      <c r="A133">
        <v>11.9</v>
      </c>
      <c r="B133">
        <v>838</v>
      </c>
      <c r="C133">
        <f t="shared" si="14"/>
        <v>141.61000000000001</v>
      </c>
      <c r="D133">
        <f t="shared" si="15"/>
        <v>9972.2000000000007</v>
      </c>
      <c r="E133">
        <f t="shared" si="16"/>
        <v>754.67383199999995</v>
      </c>
      <c r="F133">
        <f t="shared" si="17"/>
        <v>83.326168000000052</v>
      </c>
      <c r="G133">
        <f t="shared" si="18"/>
        <v>6943.2502735642329</v>
      </c>
      <c r="H133">
        <f t="shared" si="19"/>
        <v>-48.160399999999981</v>
      </c>
      <c r="I133">
        <f t="shared" si="20"/>
        <v>2319.4241281599984</v>
      </c>
    </row>
    <row r="134" spans="1:9" x14ac:dyDescent="0.3">
      <c r="A134">
        <v>14.3</v>
      </c>
      <c r="B134">
        <v>423</v>
      </c>
      <c r="C134">
        <f t="shared" si="14"/>
        <v>204.49</v>
      </c>
      <c r="D134">
        <f t="shared" si="15"/>
        <v>6048.9000000000005</v>
      </c>
      <c r="E134">
        <f t="shared" si="16"/>
        <v>805.32410400000003</v>
      </c>
      <c r="F134">
        <f t="shared" si="17"/>
        <v>-382.32410400000003</v>
      </c>
      <c r="G134">
        <f t="shared" si="18"/>
        <v>146171.72049940284</v>
      </c>
      <c r="H134">
        <f t="shared" si="19"/>
        <v>-463.16039999999998</v>
      </c>
      <c r="I134">
        <f t="shared" si="20"/>
        <v>214517.55612815998</v>
      </c>
    </row>
    <row r="135" spans="1:9" x14ac:dyDescent="0.3">
      <c r="A135">
        <v>11.8</v>
      </c>
      <c r="B135">
        <v>656</v>
      </c>
      <c r="C135">
        <f t="shared" si="14"/>
        <v>139.24</v>
      </c>
      <c r="D135">
        <f t="shared" si="15"/>
        <v>7740.8</v>
      </c>
      <c r="E135">
        <f t="shared" si="16"/>
        <v>752.56340399999999</v>
      </c>
      <c r="F135">
        <f t="shared" si="17"/>
        <v>-96.563403999999991</v>
      </c>
      <c r="G135">
        <f t="shared" si="18"/>
        <v>9324.4909920672144</v>
      </c>
      <c r="H135">
        <f t="shared" si="19"/>
        <v>-230.16039999999998</v>
      </c>
      <c r="I135">
        <f t="shared" si="20"/>
        <v>52973.809728159991</v>
      </c>
    </row>
    <row r="136" spans="1:9" x14ac:dyDescent="0.3">
      <c r="A136">
        <v>4.5999999999999996</v>
      </c>
      <c r="B136">
        <v>370</v>
      </c>
      <c r="C136">
        <f t="shared" si="14"/>
        <v>21.159999999999997</v>
      </c>
      <c r="D136">
        <f t="shared" si="15"/>
        <v>1701.9999999999998</v>
      </c>
      <c r="E136">
        <f t="shared" si="16"/>
        <v>600.61258799999996</v>
      </c>
      <c r="F136">
        <f t="shared" si="17"/>
        <v>-230.61258799999996</v>
      </c>
      <c r="G136">
        <f t="shared" si="18"/>
        <v>53182.165744057726</v>
      </c>
      <c r="H136">
        <f t="shared" si="19"/>
        <v>-516.16039999999998</v>
      </c>
      <c r="I136">
        <f t="shared" si="20"/>
        <v>266421.55852815998</v>
      </c>
    </row>
    <row r="137" spans="1:9" x14ac:dyDescent="0.3">
      <c r="A137">
        <v>9</v>
      </c>
      <c r="B137">
        <v>864</v>
      </c>
      <c r="C137">
        <f t="shared" si="14"/>
        <v>81</v>
      </c>
      <c r="D137">
        <f t="shared" si="15"/>
        <v>7776</v>
      </c>
      <c r="E137">
        <f t="shared" si="16"/>
        <v>693.47141999999997</v>
      </c>
      <c r="F137">
        <f t="shared" si="17"/>
        <v>170.52858000000003</v>
      </c>
      <c r="G137">
        <f t="shared" si="18"/>
        <v>29079.996596816411</v>
      </c>
      <c r="H137">
        <f t="shared" si="19"/>
        <v>-22.160399999999981</v>
      </c>
      <c r="I137">
        <f t="shared" si="20"/>
        <v>491.08332815999916</v>
      </c>
    </row>
    <row r="138" spans="1:9" x14ac:dyDescent="0.3">
      <c r="A138">
        <v>27</v>
      </c>
      <c r="B138">
        <v>1070</v>
      </c>
      <c r="C138">
        <f t="shared" si="14"/>
        <v>729</v>
      </c>
      <c r="D138">
        <f t="shared" si="15"/>
        <v>28890</v>
      </c>
      <c r="E138">
        <f t="shared" si="16"/>
        <v>1073.3484599999999</v>
      </c>
      <c r="F138">
        <f t="shared" si="17"/>
        <v>-3.3484599999999318</v>
      </c>
      <c r="G138">
        <f t="shared" si="18"/>
        <v>11.212184371599543</v>
      </c>
      <c r="H138">
        <f t="shared" si="19"/>
        <v>183.83960000000002</v>
      </c>
      <c r="I138">
        <f t="shared" si="20"/>
        <v>33796.998528160009</v>
      </c>
    </row>
    <row r="139" spans="1:9" x14ac:dyDescent="0.3">
      <c r="A139">
        <v>7.5</v>
      </c>
      <c r="B139">
        <v>827</v>
      </c>
      <c r="C139">
        <f t="shared" si="14"/>
        <v>56.25</v>
      </c>
      <c r="D139">
        <f t="shared" si="15"/>
        <v>6202.5</v>
      </c>
      <c r="E139">
        <f t="shared" si="16"/>
        <v>661.81499999999994</v>
      </c>
      <c r="F139">
        <f t="shared" si="17"/>
        <v>165.18500000000006</v>
      </c>
      <c r="G139">
        <f t="shared" si="18"/>
        <v>27286.084225000021</v>
      </c>
      <c r="H139">
        <f t="shared" si="19"/>
        <v>-59.160399999999981</v>
      </c>
      <c r="I139">
        <f t="shared" si="20"/>
        <v>3499.952928159998</v>
      </c>
    </row>
    <row r="140" spans="1:9" x14ac:dyDescent="0.3">
      <c r="A140">
        <v>7.7</v>
      </c>
      <c r="B140">
        <v>799</v>
      </c>
      <c r="C140">
        <f t="shared" si="14"/>
        <v>59.290000000000006</v>
      </c>
      <c r="D140">
        <f t="shared" si="15"/>
        <v>6152.3</v>
      </c>
      <c r="E140">
        <f t="shared" si="16"/>
        <v>666.03585599999997</v>
      </c>
      <c r="F140">
        <f t="shared" si="17"/>
        <v>132.96414400000003</v>
      </c>
      <c r="G140">
        <f t="shared" si="18"/>
        <v>17679.463589652743</v>
      </c>
      <c r="H140">
        <f t="shared" si="19"/>
        <v>-87.160399999999981</v>
      </c>
      <c r="I140">
        <f t="shared" si="20"/>
        <v>7596.935328159997</v>
      </c>
    </row>
    <row r="141" spans="1:9" x14ac:dyDescent="0.3">
      <c r="A141">
        <v>26.4</v>
      </c>
      <c r="B141">
        <v>1113</v>
      </c>
      <c r="C141">
        <f t="shared" si="14"/>
        <v>696.95999999999992</v>
      </c>
      <c r="D141">
        <f t="shared" si="15"/>
        <v>29383.199999999997</v>
      </c>
      <c r="E141">
        <f t="shared" si="16"/>
        <v>1060.685892</v>
      </c>
      <c r="F141">
        <f t="shared" si="17"/>
        <v>52.314108000000033</v>
      </c>
      <c r="G141">
        <f t="shared" si="18"/>
        <v>2736.7658958356674</v>
      </c>
      <c r="H141">
        <f t="shared" si="19"/>
        <v>226.83960000000002</v>
      </c>
      <c r="I141">
        <f t="shared" si="20"/>
        <v>51456.20412816001</v>
      </c>
    </row>
    <row r="142" spans="1:9" x14ac:dyDescent="0.3">
      <c r="A142">
        <v>30.7</v>
      </c>
      <c r="B142">
        <v>820</v>
      </c>
      <c r="C142">
        <f t="shared" si="14"/>
        <v>942.49</v>
      </c>
      <c r="D142">
        <f t="shared" si="15"/>
        <v>25174</v>
      </c>
      <c r="E142">
        <f t="shared" si="16"/>
        <v>1151.4342959999999</v>
      </c>
      <c r="F142">
        <f t="shared" si="17"/>
        <v>-331.4342959999999</v>
      </c>
      <c r="G142">
        <f t="shared" si="18"/>
        <v>109848.69256501555</v>
      </c>
      <c r="H142">
        <f t="shared" si="19"/>
        <v>-66.160399999999981</v>
      </c>
      <c r="I142">
        <f t="shared" si="20"/>
        <v>4377.1985281599973</v>
      </c>
    </row>
    <row r="143" spans="1:9" x14ac:dyDescent="0.3">
      <c r="A143">
        <v>15</v>
      </c>
      <c r="B143">
        <v>564</v>
      </c>
      <c r="C143">
        <f t="shared" si="14"/>
        <v>225</v>
      </c>
      <c r="D143">
        <f t="shared" si="15"/>
        <v>8460</v>
      </c>
      <c r="E143">
        <f t="shared" si="16"/>
        <v>820.09709999999995</v>
      </c>
      <c r="F143">
        <f t="shared" si="17"/>
        <v>-256.09709999999995</v>
      </c>
      <c r="G143">
        <f t="shared" si="18"/>
        <v>65585.724628409982</v>
      </c>
      <c r="H143">
        <f t="shared" si="19"/>
        <v>-322.16039999999998</v>
      </c>
      <c r="I143">
        <f t="shared" si="20"/>
        <v>103787.32332815998</v>
      </c>
    </row>
    <row r="144" spans="1:9" x14ac:dyDescent="0.3">
      <c r="A144">
        <v>10.7</v>
      </c>
      <c r="B144">
        <v>632</v>
      </c>
      <c r="C144">
        <f t="shared" si="14"/>
        <v>114.48999999999998</v>
      </c>
      <c r="D144">
        <f t="shared" si="15"/>
        <v>6762.4</v>
      </c>
      <c r="E144">
        <f t="shared" si="16"/>
        <v>729.34869600000002</v>
      </c>
      <c r="F144">
        <f t="shared" si="17"/>
        <v>-97.348696000000018</v>
      </c>
      <c r="G144">
        <f t="shared" si="18"/>
        <v>9476.7686129004196</v>
      </c>
      <c r="H144">
        <f t="shared" si="19"/>
        <v>-254.16039999999998</v>
      </c>
      <c r="I144">
        <f t="shared" si="20"/>
        <v>64597.508928159994</v>
      </c>
    </row>
    <row r="145" spans="1:9" x14ac:dyDescent="0.3">
      <c r="A145">
        <v>21.9</v>
      </c>
      <c r="B145">
        <v>1311</v>
      </c>
      <c r="C145">
        <f t="shared" si="14"/>
        <v>479.60999999999996</v>
      </c>
      <c r="D145">
        <f t="shared" si="15"/>
        <v>28710.899999999998</v>
      </c>
      <c r="E145">
        <f t="shared" si="16"/>
        <v>965.71663199999989</v>
      </c>
      <c r="F145">
        <f t="shared" si="17"/>
        <v>345.28336800000011</v>
      </c>
      <c r="G145">
        <f t="shared" si="18"/>
        <v>119220.6042174235</v>
      </c>
      <c r="H145">
        <f t="shared" si="19"/>
        <v>424.83960000000002</v>
      </c>
      <c r="I145">
        <f t="shared" si="20"/>
        <v>180488.68572816002</v>
      </c>
    </row>
    <row r="146" spans="1:9" x14ac:dyDescent="0.3">
      <c r="A146">
        <v>19.600000000000001</v>
      </c>
      <c r="B146">
        <v>690</v>
      </c>
      <c r="C146">
        <f t="shared" si="14"/>
        <v>384.16000000000008</v>
      </c>
      <c r="D146">
        <f t="shared" si="15"/>
        <v>13524.000000000002</v>
      </c>
      <c r="E146">
        <f t="shared" si="16"/>
        <v>917.17678799999999</v>
      </c>
      <c r="F146">
        <f t="shared" si="17"/>
        <v>-227.17678799999999</v>
      </c>
      <c r="G146">
        <f t="shared" si="18"/>
        <v>51609.293005996937</v>
      </c>
      <c r="H146">
        <f t="shared" si="19"/>
        <v>-196.16039999999998</v>
      </c>
      <c r="I146">
        <f t="shared" si="20"/>
        <v>38478.90252815999</v>
      </c>
    </row>
    <row r="147" spans="1:9" x14ac:dyDescent="0.3">
      <c r="A147">
        <v>36.5</v>
      </c>
      <c r="B147">
        <v>1510</v>
      </c>
      <c r="C147">
        <f t="shared" si="14"/>
        <v>1332.25</v>
      </c>
      <c r="D147">
        <f t="shared" si="15"/>
        <v>55115</v>
      </c>
      <c r="E147">
        <f t="shared" si="16"/>
        <v>1273.8391199999999</v>
      </c>
      <c r="F147">
        <f t="shared" si="17"/>
        <v>236.16088000000013</v>
      </c>
      <c r="G147">
        <f t="shared" si="18"/>
        <v>55771.961242374462</v>
      </c>
      <c r="H147">
        <f t="shared" si="19"/>
        <v>623.83960000000002</v>
      </c>
      <c r="I147">
        <f t="shared" si="20"/>
        <v>389175.84652816004</v>
      </c>
    </row>
    <row r="148" spans="1:9" x14ac:dyDescent="0.3">
      <c r="A148">
        <v>6.9</v>
      </c>
      <c r="B148">
        <v>722</v>
      </c>
      <c r="C148">
        <f t="shared" si="14"/>
        <v>47.610000000000007</v>
      </c>
      <c r="D148">
        <f t="shared" si="15"/>
        <v>4981.8</v>
      </c>
      <c r="E148">
        <f t="shared" si="16"/>
        <v>649.15243199999998</v>
      </c>
      <c r="F148">
        <f t="shared" si="17"/>
        <v>72.847568000000024</v>
      </c>
      <c r="G148">
        <f t="shared" si="18"/>
        <v>5306.7681635146273</v>
      </c>
      <c r="H148">
        <f t="shared" si="19"/>
        <v>-164.16039999999998</v>
      </c>
      <c r="I148">
        <f t="shared" si="20"/>
        <v>26948.636928159995</v>
      </c>
    </row>
    <row r="149" spans="1:9" x14ac:dyDescent="0.3">
      <c r="A149">
        <v>22.4</v>
      </c>
      <c r="B149">
        <v>728</v>
      </c>
      <c r="C149">
        <f t="shared" si="14"/>
        <v>501.75999999999993</v>
      </c>
      <c r="D149">
        <f t="shared" si="15"/>
        <v>16307.199999999999</v>
      </c>
      <c r="E149">
        <f t="shared" si="16"/>
        <v>976.2687719999999</v>
      </c>
      <c r="F149">
        <f t="shared" si="17"/>
        <v>-248.2687719999999</v>
      </c>
      <c r="G149">
        <f t="shared" si="18"/>
        <v>61637.383150387934</v>
      </c>
      <c r="H149">
        <f t="shared" si="19"/>
        <v>-158.16039999999998</v>
      </c>
      <c r="I149">
        <f t="shared" si="20"/>
        <v>25014.712128159994</v>
      </c>
    </row>
    <row r="150" spans="1:9" x14ac:dyDescent="0.3">
      <c r="A150">
        <v>28.6</v>
      </c>
      <c r="B150">
        <v>1111</v>
      </c>
      <c r="C150">
        <f t="shared" si="14"/>
        <v>817.96</v>
      </c>
      <c r="D150">
        <f t="shared" si="15"/>
        <v>31774.600000000002</v>
      </c>
      <c r="E150">
        <f t="shared" si="16"/>
        <v>1107.1153079999999</v>
      </c>
      <c r="F150">
        <f t="shared" si="17"/>
        <v>3.8846920000000864</v>
      </c>
      <c r="G150">
        <f t="shared" si="18"/>
        <v>15.090831934864671</v>
      </c>
      <c r="H150">
        <f t="shared" si="19"/>
        <v>224.83960000000002</v>
      </c>
      <c r="I150">
        <f t="shared" si="20"/>
        <v>50552.845728160006</v>
      </c>
    </row>
    <row r="151" spans="1:9" x14ac:dyDescent="0.3">
      <c r="A151">
        <v>21.6</v>
      </c>
      <c r="B151">
        <v>865</v>
      </c>
      <c r="C151">
        <f t="shared" si="14"/>
        <v>466.56000000000006</v>
      </c>
      <c r="D151">
        <f t="shared" si="15"/>
        <v>18684</v>
      </c>
      <c r="E151">
        <f t="shared" si="16"/>
        <v>959.38534800000002</v>
      </c>
      <c r="F151">
        <f t="shared" si="17"/>
        <v>-94.385348000000022</v>
      </c>
      <c r="G151">
        <f t="shared" si="18"/>
        <v>8908.5939170811089</v>
      </c>
      <c r="H151">
        <f t="shared" si="19"/>
        <v>-21.160399999999981</v>
      </c>
      <c r="I151">
        <f t="shared" si="20"/>
        <v>447.76252815999919</v>
      </c>
    </row>
    <row r="152" spans="1:9" x14ac:dyDescent="0.3">
      <c r="A152">
        <v>23.8</v>
      </c>
      <c r="B152">
        <v>1261</v>
      </c>
      <c r="C152">
        <f t="shared" si="14"/>
        <v>566.44000000000005</v>
      </c>
      <c r="D152">
        <f t="shared" si="15"/>
        <v>30011.8</v>
      </c>
      <c r="E152">
        <f t="shared" si="16"/>
        <v>1005.814764</v>
      </c>
      <c r="F152">
        <f t="shared" si="17"/>
        <v>255.18523600000003</v>
      </c>
      <c r="G152">
        <f t="shared" si="18"/>
        <v>65119.504672375711</v>
      </c>
      <c r="H152">
        <f t="shared" si="19"/>
        <v>374.83960000000002</v>
      </c>
      <c r="I152">
        <f t="shared" si="20"/>
        <v>140504.72572816</v>
      </c>
    </row>
    <row r="153" spans="1:9" x14ac:dyDescent="0.3">
      <c r="A153">
        <v>16.7</v>
      </c>
      <c r="B153">
        <v>692</v>
      </c>
      <c r="C153">
        <f t="shared" si="14"/>
        <v>278.89</v>
      </c>
      <c r="D153">
        <f t="shared" si="15"/>
        <v>11556.4</v>
      </c>
      <c r="E153">
        <f t="shared" si="16"/>
        <v>855.97437599999989</v>
      </c>
      <c r="F153">
        <f t="shared" si="17"/>
        <v>-163.97437599999989</v>
      </c>
      <c r="G153">
        <f t="shared" si="18"/>
        <v>26887.595984589341</v>
      </c>
      <c r="H153">
        <f t="shared" si="19"/>
        <v>-194.16039999999998</v>
      </c>
      <c r="I153">
        <f t="shared" si="20"/>
        <v>37698.260928159994</v>
      </c>
    </row>
    <row r="154" spans="1:9" x14ac:dyDescent="0.3">
      <c r="A154">
        <v>5.8</v>
      </c>
      <c r="B154">
        <v>279</v>
      </c>
      <c r="C154">
        <f t="shared" si="14"/>
        <v>33.64</v>
      </c>
      <c r="D154">
        <f t="shared" si="15"/>
        <v>1618.2</v>
      </c>
      <c r="E154">
        <f t="shared" si="16"/>
        <v>625.937724</v>
      </c>
      <c r="F154">
        <f t="shared" si="17"/>
        <v>-346.937724</v>
      </c>
      <c r="G154">
        <f t="shared" si="18"/>
        <v>120365.78433430017</v>
      </c>
      <c r="H154">
        <f t="shared" si="19"/>
        <v>-607.16039999999998</v>
      </c>
      <c r="I154">
        <f t="shared" si="20"/>
        <v>368643.75132816</v>
      </c>
    </row>
    <row r="155" spans="1:9" x14ac:dyDescent="0.3">
      <c r="A155">
        <v>16</v>
      </c>
      <c r="B155">
        <v>1446</v>
      </c>
      <c r="C155">
        <f t="shared" si="14"/>
        <v>256</v>
      </c>
      <c r="D155">
        <f t="shared" si="15"/>
        <v>23136</v>
      </c>
      <c r="E155">
        <f t="shared" si="16"/>
        <v>841.20137999999997</v>
      </c>
      <c r="F155">
        <f t="shared" si="17"/>
        <v>604.79862000000003</v>
      </c>
      <c r="G155">
        <f t="shared" si="18"/>
        <v>365781.37075390446</v>
      </c>
      <c r="H155">
        <f t="shared" si="19"/>
        <v>559.83960000000002</v>
      </c>
      <c r="I155">
        <f t="shared" si="20"/>
        <v>313420.37772816001</v>
      </c>
    </row>
    <row r="156" spans="1:9" x14ac:dyDescent="0.3">
      <c r="A156">
        <v>15</v>
      </c>
      <c r="B156">
        <v>469</v>
      </c>
      <c r="C156">
        <f t="shared" si="14"/>
        <v>225</v>
      </c>
      <c r="D156">
        <f t="shared" si="15"/>
        <v>7035</v>
      </c>
      <c r="E156">
        <f t="shared" si="16"/>
        <v>820.09709999999995</v>
      </c>
      <c r="F156">
        <f t="shared" si="17"/>
        <v>-351.09709999999995</v>
      </c>
      <c r="G156">
        <f t="shared" si="18"/>
        <v>123269.17362840998</v>
      </c>
      <c r="H156">
        <f t="shared" si="19"/>
        <v>-417.16039999999998</v>
      </c>
      <c r="I156">
        <f t="shared" si="20"/>
        <v>174022.79932815998</v>
      </c>
    </row>
    <row r="157" spans="1:9" x14ac:dyDescent="0.3">
      <c r="A157">
        <v>1</v>
      </c>
      <c r="B157">
        <v>351</v>
      </c>
      <c r="C157">
        <f t="shared" si="14"/>
        <v>1</v>
      </c>
      <c r="D157">
        <f t="shared" si="15"/>
        <v>351</v>
      </c>
      <c r="E157">
        <f t="shared" si="16"/>
        <v>524.63717999999994</v>
      </c>
      <c r="F157">
        <f t="shared" si="17"/>
        <v>-173.63717999999994</v>
      </c>
      <c r="G157">
        <f t="shared" si="18"/>
        <v>30149.87027835238</v>
      </c>
      <c r="H157">
        <f t="shared" si="19"/>
        <v>-535.16039999999998</v>
      </c>
      <c r="I157">
        <f t="shared" si="20"/>
        <v>286396.65372815996</v>
      </c>
    </row>
    <row r="158" spans="1:9" x14ac:dyDescent="0.3">
      <c r="A158">
        <v>10.7</v>
      </c>
      <c r="B158">
        <v>276</v>
      </c>
      <c r="C158">
        <f t="shared" si="14"/>
        <v>114.48999999999998</v>
      </c>
      <c r="D158">
        <f t="shared" si="15"/>
        <v>2953.2</v>
      </c>
      <c r="E158">
        <f t="shared" si="16"/>
        <v>729.34869600000002</v>
      </c>
      <c r="F158">
        <f t="shared" si="17"/>
        <v>-453.34869600000002</v>
      </c>
      <c r="G158">
        <f t="shared" si="18"/>
        <v>205525.04016490042</v>
      </c>
      <c r="H158">
        <f t="shared" si="19"/>
        <v>-610.16039999999998</v>
      </c>
      <c r="I158">
        <f t="shared" si="20"/>
        <v>372295.71372815996</v>
      </c>
    </row>
    <row r="159" spans="1:9" x14ac:dyDescent="0.3">
      <c r="A159">
        <v>16.5</v>
      </c>
      <c r="B159">
        <v>1042</v>
      </c>
      <c r="C159">
        <f t="shared" si="14"/>
        <v>272.25</v>
      </c>
      <c r="D159">
        <f t="shared" si="15"/>
        <v>17193</v>
      </c>
      <c r="E159">
        <f t="shared" si="16"/>
        <v>851.75351999999998</v>
      </c>
      <c r="F159">
        <f t="shared" si="17"/>
        <v>190.24648000000002</v>
      </c>
      <c r="G159">
        <f t="shared" si="18"/>
        <v>36193.723152390405</v>
      </c>
      <c r="H159">
        <f t="shared" si="19"/>
        <v>155.83960000000002</v>
      </c>
      <c r="I159">
        <f t="shared" si="20"/>
        <v>24285.980928160006</v>
      </c>
    </row>
    <row r="160" spans="1:9" x14ac:dyDescent="0.3">
      <c r="A160">
        <v>11.7</v>
      </c>
      <c r="B160">
        <v>496</v>
      </c>
      <c r="C160">
        <f t="shared" si="14"/>
        <v>136.88999999999999</v>
      </c>
      <c r="D160">
        <f t="shared" si="15"/>
        <v>5803.2</v>
      </c>
      <c r="E160">
        <f t="shared" si="16"/>
        <v>750.45297599999992</v>
      </c>
      <c r="F160">
        <f t="shared" si="17"/>
        <v>-254.45297599999992</v>
      </c>
      <c r="G160">
        <f t="shared" si="18"/>
        <v>64746.316995256537</v>
      </c>
      <c r="H160">
        <f t="shared" si="19"/>
        <v>-390.16039999999998</v>
      </c>
      <c r="I160">
        <f t="shared" si="20"/>
        <v>152225.13772815999</v>
      </c>
    </row>
    <row r="161" spans="1:9" x14ac:dyDescent="0.3">
      <c r="A161">
        <v>31.9</v>
      </c>
      <c r="B161">
        <v>1171</v>
      </c>
      <c r="C161">
        <f t="shared" si="14"/>
        <v>1017.6099999999999</v>
      </c>
      <c r="D161">
        <f t="shared" si="15"/>
        <v>37354.9</v>
      </c>
      <c r="E161">
        <f t="shared" si="16"/>
        <v>1176.7594319999998</v>
      </c>
      <c r="F161">
        <f t="shared" si="17"/>
        <v>-5.7594319999998334</v>
      </c>
      <c r="G161">
        <f t="shared" si="18"/>
        <v>33.171056962622082</v>
      </c>
      <c r="H161">
        <f t="shared" si="19"/>
        <v>284.83960000000002</v>
      </c>
      <c r="I161">
        <f t="shared" si="20"/>
        <v>81133.597728160006</v>
      </c>
    </row>
    <row r="162" spans="1:9" x14ac:dyDescent="0.3">
      <c r="A162">
        <v>7.1</v>
      </c>
      <c r="B162">
        <v>453</v>
      </c>
      <c r="C162">
        <f t="shared" si="14"/>
        <v>50.41</v>
      </c>
      <c r="D162">
        <f t="shared" si="15"/>
        <v>3216.2999999999997</v>
      </c>
      <c r="E162">
        <f t="shared" si="16"/>
        <v>653.373288</v>
      </c>
      <c r="F162">
        <f t="shared" si="17"/>
        <v>-200.373288</v>
      </c>
      <c r="G162">
        <f t="shared" si="18"/>
        <v>40149.454543930944</v>
      </c>
      <c r="H162">
        <f t="shared" si="19"/>
        <v>-433.16039999999998</v>
      </c>
      <c r="I162">
        <f t="shared" si="20"/>
        <v>187627.93212815997</v>
      </c>
    </row>
    <row r="163" spans="1:9" x14ac:dyDescent="0.3">
      <c r="A163">
        <v>20.9</v>
      </c>
      <c r="B163">
        <v>648</v>
      </c>
      <c r="C163">
        <f t="shared" si="14"/>
        <v>436.80999999999995</v>
      </c>
      <c r="D163">
        <f t="shared" si="15"/>
        <v>13543.199999999999</v>
      </c>
      <c r="E163">
        <f t="shared" si="16"/>
        <v>944.61235199999987</v>
      </c>
      <c r="F163">
        <f t="shared" si="17"/>
        <v>-296.61235199999987</v>
      </c>
      <c r="G163">
        <f t="shared" si="18"/>
        <v>87978.887358971828</v>
      </c>
      <c r="H163">
        <f t="shared" si="19"/>
        <v>-238.16039999999998</v>
      </c>
      <c r="I163">
        <f t="shared" si="20"/>
        <v>56720.376128159995</v>
      </c>
    </row>
    <row r="164" spans="1:9" x14ac:dyDescent="0.3">
      <c r="A164">
        <v>16.899999999999999</v>
      </c>
      <c r="B164">
        <v>1088</v>
      </c>
      <c r="C164">
        <f t="shared" si="14"/>
        <v>285.60999999999996</v>
      </c>
      <c r="D164">
        <f t="shared" si="15"/>
        <v>18387.199999999997</v>
      </c>
      <c r="E164">
        <f t="shared" si="16"/>
        <v>860.19523199999992</v>
      </c>
      <c r="F164">
        <f t="shared" si="17"/>
        <v>227.80476800000008</v>
      </c>
      <c r="G164">
        <f t="shared" si="18"/>
        <v>51895.012323533861</v>
      </c>
      <c r="H164">
        <f t="shared" si="19"/>
        <v>201.83960000000002</v>
      </c>
      <c r="I164">
        <f t="shared" si="20"/>
        <v>40739.224128160007</v>
      </c>
    </row>
    <row r="165" spans="1:9" x14ac:dyDescent="0.3">
      <c r="A165">
        <v>9.8000000000000007</v>
      </c>
      <c r="B165">
        <v>789</v>
      </c>
      <c r="C165">
        <f t="shared" si="14"/>
        <v>96.04000000000002</v>
      </c>
      <c r="D165">
        <f t="shared" si="15"/>
        <v>7732.2000000000007</v>
      </c>
      <c r="E165">
        <f t="shared" si="16"/>
        <v>710.35484399999996</v>
      </c>
      <c r="F165">
        <f t="shared" si="17"/>
        <v>78.645156000000043</v>
      </c>
      <c r="G165">
        <f t="shared" si="18"/>
        <v>6185.0605622643425</v>
      </c>
      <c r="H165">
        <f t="shared" si="19"/>
        <v>-97.160399999999981</v>
      </c>
      <c r="I165">
        <f t="shared" si="20"/>
        <v>9440.1433281599966</v>
      </c>
    </row>
    <row r="166" spans="1:9" x14ac:dyDescent="0.3">
      <c r="A166">
        <v>20.6</v>
      </c>
      <c r="B166">
        <v>1123</v>
      </c>
      <c r="C166">
        <f t="shared" si="14"/>
        <v>424.36000000000007</v>
      </c>
      <c r="D166">
        <f t="shared" si="15"/>
        <v>23133.800000000003</v>
      </c>
      <c r="E166">
        <f t="shared" si="16"/>
        <v>938.281068</v>
      </c>
      <c r="F166">
        <f t="shared" si="17"/>
        <v>184.718932</v>
      </c>
      <c r="G166">
        <f t="shared" si="18"/>
        <v>34121.083839220621</v>
      </c>
      <c r="H166">
        <f t="shared" si="19"/>
        <v>236.83960000000002</v>
      </c>
      <c r="I166">
        <f t="shared" si="20"/>
        <v>56092.996128160012</v>
      </c>
    </row>
    <row r="167" spans="1:9" x14ac:dyDescent="0.3">
      <c r="A167">
        <v>10.4</v>
      </c>
      <c r="B167">
        <v>1064</v>
      </c>
      <c r="C167">
        <f t="shared" si="14"/>
        <v>108.16000000000001</v>
      </c>
      <c r="D167">
        <f t="shared" si="15"/>
        <v>11065.6</v>
      </c>
      <c r="E167">
        <f t="shared" si="16"/>
        <v>723.01741199999992</v>
      </c>
      <c r="F167">
        <f t="shared" si="17"/>
        <v>340.98258800000008</v>
      </c>
      <c r="G167">
        <f t="shared" si="18"/>
        <v>116269.12531917779</v>
      </c>
      <c r="H167">
        <f t="shared" si="19"/>
        <v>177.83960000000002</v>
      </c>
      <c r="I167">
        <f t="shared" si="20"/>
        <v>31626.923328160006</v>
      </c>
    </row>
    <row r="168" spans="1:9" x14ac:dyDescent="0.3">
      <c r="A168">
        <v>6.9</v>
      </c>
      <c r="B168">
        <v>744</v>
      </c>
      <c r="C168">
        <f t="shared" si="14"/>
        <v>47.610000000000007</v>
      </c>
      <c r="D168">
        <f t="shared" si="15"/>
        <v>5133.6000000000004</v>
      </c>
      <c r="E168">
        <f t="shared" si="16"/>
        <v>649.15243199999998</v>
      </c>
      <c r="F168">
        <f t="shared" si="17"/>
        <v>94.847568000000024</v>
      </c>
      <c r="G168">
        <f t="shared" si="18"/>
        <v>8996.0611555146279</v>
      </c>
      <c r="H168">
        <f t="shared" si="19"/>
        <v>-142.16039999999998</v>
      </c>
      <c r="I168">
        <f t="shared" si="20"/>
        <v>20209.579328159994</v>
      </c>
    </row>
    <row r="169" spans="1:9" x14ac:dyDescent="0.3">
      <c r="A169">
        <v>24.5</v>
      </c>
      <c r="B169">
        <v>1296</v>
      </c>
      <c r="C169">
        <f t="shared" si="14"/>
        <v>600.25</v>
      </c>
      <c r="D169">
        <f t="shared" si="15"/>
        <v>31752</v>
      </c>
      <c r="E169">
        <f t="shared" si="16"/>
        <v>1020.5877599999999</v>
      </c>
      <c r="F169">
        <f t="shared" si="17"/>
        <v>275.41224000000011</v>
      </c>
      <c r="G169">
        <f t="shared" si="18"/>
        <v>75851.901941817661</v>
      </c>
      <c r="H169">
        <f t="shared" si="19"/>
        <v>409.83960000000002</v>
      </c>
      <c r="I169">
        <f t="shared" si="20"/>
        <v>167968.49772816003</v>
      </c>
    </row>
    <row r="170" spans="1:9" x14ac:dyDescent="0.3">
      <c r="A170">
        <v>13.3</v>
      </c>
      <c r="B170">
        <v>753</v>
      </c>
      <c r="C170">
        <f t="shared" si="14"/>
        <v>176.89000000000001</v>
      </c>
      <c r="D170">
        <f t="shared" si="15"/>
        <v>10014.9</v>
      </c>
      <c r="E170">
        <f t="shared" si="16"/>
        <v>784.21982400000002</v>
      </c>
      <c r="F170">
        <f t="shared" si="17"/>
        <v>-31.219824000000017</v>
      </c>
      <c r="G170">
        <f t="shared" si="18"/>
        <v>974.67741059097705</v>
      </c>
      <c r="H170">
        <f t="shared" si="19"/>
        <v>-133.16039999999998</v>
      </c>
      <c r="I170">
        <f t="shared" si="20"/>
        <v>17731.692128159993</v>
      </c>
    </row>
    <row r="171" spans="1:9" x14ac:dyDescent="0.3">
      <c r="A171">
        <v>11.9</v>
      </c>
      <c r="B171">
        <v>774</v>
      </c>
      <c r="C171">
        <f t="shared" si="14"/>
        <v>141.61000000000001</v>
      </c>
      <c r="D171">
        <f t="shared" si="15"/>
        <v>9210.6</v>
      </c>
      <c r="E171">
        <f t="shared" si="16"/>
        <v>754.67383199999995</v>
      </c>
      <c r="F171">
        <f t="shared" si="17"/>
        <v>19.326168000000052</v>
      </c>
      <c r="G171">
        <f t="shared" si="18"/>
        <v>373.500769564226</v>
      </c>
      <c r="H171">
        <f t="shared" si="19"/>
        <v>-112.16039999999998</v>
      </c>
      <c r="I171">
        <f t="shared" si="20"/>
        <v>12579.955328159996</v>
      </c>
    </row>
    <row r="172" spans="1:9" x14ac:dyDescent="0.3">
      <c r="A172">
        <v>6.7</v>
      </c>
      <c r="B172">
        <v>623</v>
      </c>
      <c r="C172">
        <f t="shared" si="14"/>
        <v>44.89</v>
      </c>
      <c r="D172">
        <f t="shared" si="15"/>
        <v>4174.1000000000004</v>
      </c>
      <c r="E172">
        <f t="shared" si="16"/>
        <v>644.93157599999995</v>
      </c>
      <c r="F172">
        <f t="shared" si="17"/>
        <v>-21.93157599999995</v>
      </c>
      <c r="G172">
        <f t="shared" si="18"/>
        <v>480.99402584377378</v>
      </c>
      <c r="H172">
        <f t="shared" si="19"/>
        <v>-263.16039999999998</v>
      </c>
      <c r="I172">
        <f t="shared" si="20"/>
        <v>69253.396128159991</v>
      </c>
    </row>
    <row r="173" spans="1:9" x14ac:dyDescent="0.3">
      <c r="A173">
        <v>40.5</v>
      </c>
      <c r="B173">
        <v>1368</v>
      </c>
      <c r="C173">
        <f t="shared" si="14"/>
        <v>1640.25</v>
      </c>
      <c r="D173">
        <f t="shared" si="15"/>
        <v>55404</v>
      </c>
      <c r="E173">
        <f t="shared" si="16"/>
        <v>1358.2562399999999</v>
      </c>
      <c r="F173">
        <f t="shared" si="17"/>
        <v>9.7437600000000657</v>
      </c>
      <c r="G173">
        <f t="shared" si="18"/>
        <v>94.940858937601277</v>
      </c>
      <c r="H173">
        <f t="shared" si="19"/>
        <v>481.83960000000002</v>
      </c>
      <c r="I173">
        <f t="shared" si="20"/>
        <v>232169.40012816002</v>
      </c>
    </row>
    <row r="174" spans="1:9" x14ac:dyDescent="0.3">
      <c r="A174">
        <v>24.5</v>
      </c>
      <c r="B174">
        <v>1433</v>
      </c>
      <c r="C174">
        <f t="shared" si="14"/>
        <v>600.25</v>
      </c>
      <c r="D174">
        <f t="shared" si="15"/>
        <v>35108.5</v>
      </c>
      <c r="E174">
        <f t="shared" si="16"/>
        <v>1020.5877599999999</v>
      </c>
      <c r="F174">
        <f t="shared" si="17"/>
        <v>412.41224000000011</v>
      </c>
      <c r="G174">
        <f t="shared" si="18"/>
        <v>170083.85570181769</v>
      </c>
      <c r="H174">
        <f t="shared" si="19"/>
        <v>546.83960000000002</v>
      </c>
      <c r="I174">
        <f t="shared" si="20"/>
        <v>299033.54812816001</v>
      </c>
    </row>
    <row r="175" spans="1:9" x14ac:dyDescent="0.3">
      <c r="A175">
        <v>12.6</v>
      </c>
      <c r="B175">
        <v>562</v>
      </c>
      <c r="C175">
        <f t="shared" si="14"/>
        <v>158.76</v>
      </c>
      <c r="D175">
        <f t="shared" si="15"/>
        <v>7081.2</v>
      </c>
      <c r="E175">
        <f t="shared" si="16"/>
        <v>769.44682799999998</v>
      </c>
      <c r="F175">
        <f t="shared" si="17"/>
        <v>-207.44682799999998</v>
      </c>
      <c r="G175">
        <f t="shared" si="18"/>
        <v>43034.186447261578</v>
      </c>
      <c r="H175">
        <f t="shared" si="19"/>
        <v>-324.16039999999998</v>
      </c>
      <c r="I175">
        <f t="shared" si="20"/>
        <v>105079.96492815998</v>
      </c>
    </row>
    <row r="176" spans="1:9" x14ac:dyDescent="0.3">
      <c r="A176">
        <v>10.9</v>
      </c>
      <c r="B176">
        <v>911</v>
      </c>
      <c r="C176">
        <f t="shared" si="14"/>
        <v>118.81</v>
      </c>
      <c r="D176">
        <f t="shared" si="15"/>
        <v>9929.9</v>
      </c>
      <c r="E176">
        <f t="shared" si="16"/>
        <v>733.56955199999993</v>
      </c>
      <c r="F176">
        <f t="shared" si="17"/>
        <v>177.43044800000007</v>
      </c>
      <c r="G176">
        <f t="shared" si="18"/>
        <v>31481.56387748073</v>
      </c>
      <c r="H176">
        <f t="shared" si="19"/>
        <v>24.839600000000019</v>
      </c>
      <c r="I176">
        <f t="shared" si="20"/>
        <v>617.0057281600009</v>
      </c>
    </row>
    <row r="177" spans="1:9" x14ac:dyDescent="0.3">
      <c r="A177">
        <v>13.4</v>
      </c>
      <c r="B177">
        <v>931</v>
      </c>
      <c r="C177">
        <f t="shared" si="14"/>
        <v>179.56</v>
      </c>
      <c r="D177">
        <f t="shared" si="15"/>
        <v>12475.4</v>
      </c>
      <c r="E177">
        <f t="shared" si="16"/>
        <v>786.33025199999997</v>
      </c>
      <c r="F177">
        <f t="shared" si="17"/>
        <v>144.66974800000003</v>
      </c>
      <c r="G177">
        <f t="shared" si="18"/>
        <v>20929.33598638351</v>
      </c>
      <c r="H177">
        <f t="shared" si="19"/>
        <v>44.839600000000019</v>
      </c>
      <c r="I177">
        <f t="shared" si="20"/>
        <v>2010.5897281600016</v>
      </c>
    </row>
    <row r="178" spans="1:9" x14ac:dyDescent="0.3">
      <c r="A178">
        <v>8.6999999999999993</v>
      </c>
      <c r="B178">
        <v>283</v>
      </c>
      <c r="C178">
        <f t="shared" si="14"/>
        <v>75.689999999999984</v>
      </c>
      <c r="D178">
        <f t="shared" si="15"/>
        <v>2462.1</v>
      </c>
      <c r="E178">
        <f t="shared" si="16"/>
        <v>687.14013599999998</v>
      </c>
      <c r="F178">
        <f t="shared" si="17"/>
        <v>-404.14013599999998</v>
      </c>
      <c r="G178">
        <f t="shared" si="18"/>
        <v>163329.24952609849</v>
      </c>
      <c r="H178">
        <f t="shared" si="19"/>
        <v>-603.16039999999998</v>
      </c>
      <c r="I178">
        <f t="shared" si="20"/>
        <v>363802.46812815999</v>
      </c>
    </row>
    <row r="179" spans="1:9" x14ac:dyDescent="0.3">
      <c r="A179">
        <v>4.5</v>
      </c>
      <c r="B179">
        <v>672</v>
      </c>
      <c r="C179">
        <f t="shared" si="14"/>
        <v>20.25</v>
      </c>
      <c r="D179">
        <f t="shared" si="15"/>
        <v>3024</v>
      </c>
      <c r="E179">
        <f t="shared" si="16"/>
        <v>598.50216</v>
      </c>
      <c r="F179">
        <f t="shared" si="17"/>
        <v>73.497839999999997</v>
      </c>
      <c r="G179">
        <f t="shared" si="18"/>
        <v>5401.9324846655991</v>
      </c>
      <c r="H179">
        <f t="shared" si="19"/>
        <v>-214.16039999999998</v>
      </c>
      <c r="I179">
        <f t="shared" si="20"/>
        <v>45864.676928159992</v>
      </c>
    </row>
    <row r="180" spans="1:9" x14ac:dyDescent="0.3">
      <c r="A180">
        <v>16.8</v>
      </c>
      <c r="B180">
        <v>380</v>
      </c>
      <c r="C180">
        <f t="shared" si="14"/>
        <v>282.24</v>
      </c>
      <c r="D180">
        <f t="shared" si="15"/>
        <v>6384</v>
      </c>
      <c r="E180">
        <f t="shared" si="16"/>
        <v>858.08480399999996</v>
      </c>
      <c r="F180">
        <f t="shared" si="17"/>
        <v>-478.08480399999996</v>
      </c>
      <c r="G180">
        <f t="shared" si="18"/>
        <v>228565.07981571837</v>
      </c>
      <c r="H180">
        <f t="shared" si="19"/>
        <v>-506.16039999999998</v>
      </c>
      <c r="I180">
        <f t="shared" si="20"/>
        <v>256198.35052815999</v>
      </c>
    </row>
    <row r="181" spans="1:9" x14ac:dyDescent="0.3">
      <c r="A181">
        <v>17.8</v>
      </c>
      <c r="B181">
        <v>1137</v>
      </c>
      <c r="C181">
        <f t="shared" si="14"/>
        <v>316.84000000000003</v>
      </c>
      <c r="D181">
        <f t="shared" si="15"/>
        <v>20238.600000000002</v>
      </c>
      <c r="E181">
        <f t="shared" si="16"/>
        <v>879.18908399999998</v>
      </c>
      <c r="F181">
        <f t="shared" si="17"/>
        <v>257.81091600000002</v>
      </c>
      <c r="G181">
        <f t="shared" si="18"/>
        <v>66466.468408759072</v>
      </c>
      <c r="H181">
        <f t="shared" si="19"/>
        <v>250.83960000000002</v>
      </c>
      <c r="I181">
        <f t="shared" si="20"/>
        <v>62920.504928160008</v>
      </c>
    </row>
    <row r="182" spans="1:9" x14ac:dyDescent="0.3">
      <c r="A182">
        <v>1.7</v>
      </c>
      <c r="B182">
        <v>913</v>
      </c>
      <c r="C182">
        <f t="shared" si="14"/>
        <v>2.8899999999999997</v>
      </c>
      <c r="D182">
        <f t="shared" si="15"/>
        <v>1552.1</v>
      </c>
      <c r="E182">
        <f t="shared" si="16"/>
        <v>539.41017599999998</v>
      </c>
      <c r="F182">
        <f t="shared" si="17"/>
        <v>373.58982400000002</v>
      </c>
      <c r="G182">
        <f t="shared" si="18"/>
        <v>139569.35659635099</v>
      </c>
      <c r="H182">
        <f t="shared" si="19"/>
        <v>26.839600000000019</v>
      </c>
      <c r="I182">
        <f t="shared" si="20"/>
        <v>720.36412816000097</v>
      </c>
    </row>
    <row r="183" spans="1:9" x14ac:dyDescent="0.3">
      <c r="A183">
        <v>17.3</v>
      </c>
      <c r="B183">
        <v>946</v>
      </c>
      <c r="C183">
        <f t="shared" si="14"/>
        <v>299.29000000000002</v>
      </c>
      <c r="D183">
        <f t="shared" si="15"/>
        <v>16365.800000000001</v>
      </c>
      <c r="E183">
        <f t="shared" si="16"/>
        <v>868.63694399999997</v>
      </c>
      <c r="F183">
        <f t="shared" si="17"/>
        <v>77.363056000000029</v>
      </c>
      <c r="G183">
        <f t="shared" si="18"/>
        <v>5985.0424336591404</v>
      </c>
      <c r="H183">
        <f t="shared" si="19"/>
        <v>59.839600000000019</v>
      </c>
      <c r="I183">
        <f t="shared" si="20"/>
        <v>3580.7777281600024</v>
      </c>
    </row>
    <row r="184" spans="1:9" x14ac:dyDescent="0.3">
      <c r="A184">
        <v>16.8</v>
      </c>
      <c r="B184">
        <v>929</v>
      </c>
      <c r="C184">
        <f t="shared" si="14"/>
        <v>282.24</v>
      </c>
      <c r="D184">
        <f t="shared" si="15"/>
        <v>15607.2</v>
      </c>
      <c r="E184">
        <f t="shared" si="16"/>
        <v>858.08480399999996</v>
      </c>
      <c r="F184">
        <f t="shared" si="17"/>
        <v>70.915196000000037</v>
      </c>
      <c r="G184">
        <f t="shared" si="18"/>
        <v>5028.9650237184214</v>
      </c>
      <c r="H184">
        <f t="shared" si="19"/>
        <v>42.839600000000019</v>
      </c>
      <c r="I184">
        <f t="shared" si="20"/>
        <v>1835.2313281600016</v>
      </c>
    </row>
    <row r="185" spans="1:9" x14ac:dyDescent="0.3">
      <c r="A185">
        <v>11.6</v>
      </c>
      <c r="B185">
        <v>441</v>
      </c>
      <c r="C185">
        <f t="shared" si="14"/>
        <v>134.56</v>
      </c>
      <c r="D185">
        <f t="shared" si="15"/>
        <v>5115.5999999999995</v>
      </c>
      <c r="E185">
        <f t="shared" si="16"/>
        <v>748.34254799999997</v>
      </c>
      <c r="F185">
        <f t="shared" si="17"/>
        <v>-307.34254799999997</v>
      </c>
      <c r="G185">
        <f t="shared" si="18"/>
        <v>94459.441811132288</v>
      </c>
      <c r="H185">
        <f t="shared" si="19"/>
        <v>-445.16039999999998</v>
      </c>
      <c r="I185">
        <f t="shared" si="20"/>
        <v>198167.78172815999</v>
      </c>
    </row>
    <row r="186" spans="1:9" x14ac:dyDescent="0.3">
      <c r="A186">
        <v>24.4</v>
      </c>
      <c r="B186">
        <v>1099</v>
      </c>
      <c r="C186">
        <f t="shared" si="14"/>
        <v>595.3599999999999</v>
      </c>
      <c r="D186">
        <f t="shared" si="15"/>
        <v>26815.599999999999</v>
      </c>
      <c r="E186">
        <f t="shared" si="16"/>
        <v>1018.4773319999999</v>
      </c>
      <c r="F186">
        <f t="shared" si="17"/>
        <v>80.522668000000067</v>
      </c>
      <c r="G186">
        <f t="shared" si="18"/>
        <v>6483.9000618382352</v>
      </c>
      <c r="H186">
        <f t="shared" si="19"/>
        <v>212.83960000000002</v>
      </c>
      <c r="I186">
        <f t="shared" si="20"/>
        <v>45300.695328160007</v>
      </c>
    </row>
    <row r="187" spans="1:9" x14ac:dyDescent="0.3">
      <c r="A187">
        <v>14.5</v>
      </c>
      <c r="B187">
        <v>359</v>
      </c>
      <c r="C187">
        <f t="shared" si="14"/>
        <v>210.25</v>
      </c>
      <c r="D187">
        <f t="shared" si="15"/>
        <v>5205.5</v>
      </c>
      <c r="E187">
        <f t="shared" si="16"/>
        <v>809.54495999999995</v>
      </c>
      <c r="F187">
        <f t="shared" si="17"/>
        <v>-450.54495999999995</v>
      </c>
      <c r="G187">
        <f t="shared" si="18"/>
        <v>202990.76098140154</v>
      </c>
      <c r="H187">
        <f t="shared" si="19"/>
        <v>-527.16039999999998</v>
      </c>
      <c r="I187">
        <f t="shared" si="20"/>
        <v>277898.08732816001</v>
      </c>
    </row>
    <row r="188" spans="1:9" x14ac:dyDescent="0.3">
      <c r="A188">
        <v>6.9</v>
      </c>
      <c r="B188">
        <v>1086</v>
      </c>
      <c r="C188">
        <f t="shared" si="14"/>
        <v>47.610000000000007</v>
      </c>
      <c r="D188">
        <f t="shared" si="15"/>
        <v>7493.4000000000005</v>
      </c>
      <c r="E188">
        <f t="shared" si="16"/>
        <v>649.15243199999998</v>
      </c>
      <c r="F188">
        <f t="shared" si="17"/>
        <v>436.84756800000002</v>
      </c>
      <c r="G188">
        <f t="shared" si="18"/>
        <v>190835.79766751465</v>
      </c>
      <c r="H188">
        <f t="shared" si="19"/>
        <v>199.83960000000002</v>
      </c>
      <c r="I188">
        <f t="shared" si="20"/>
        <v>39935.86572816001</v>
      </c>
    </row>
    <row r="189" spans="1:9" x14ac:dyDescent="0.3">
      <c r="A189">
        <v>8.8000000000000007</v>
      </c>
      <c r="B189">
        <v>316</v>
      </c>
      <c r="C189">
        <f t="shared" si="14"/>
        <v>77.440000000000012</v>
      </c>
      <c r="D189">
        <f t="shared" si="15"/>
        <v>2780.8</v>
      </c>
      <c r="E189">
        <f t="shared" si="16"/>
        <v>689.25056399999994</v>
      </c>
      <c r="F189">
        <f t="shared" si="17"/>
        <v>-373.25056399999994</v>
      </c>
      <c r="G189">
        <f t="shared" si="18"/>
        <v>139315.98352631804</v>
      </c>
      <c r="H189">
        <f t="shared" si="19"/>
        <v>-570.16039999999998</v>
      </c>
      <c r="I189">
        <f t="shared" si="20"/>
        <v>325082.88172815996</v>
      </c>
    </row>
    <row r="190" spans="1:9" x14ac:dyDescent="0.3">
      <c r="A190">
        <v>16</v>
      </c>
      <c r="B190">
        <v>891</v>
      </c>
      <c r="C190">
        <f t="shared" si="14"/>
        <v>256</v>
      </c>
      <c r="D190">
        <f t="shared" si="15"/>
        <v>14256</v>
      </c>
      <c r="E190">
        <f t="shared" si="16"/>
        <v>841.20137999999997</v>
      </c>
      <c r="F190">
        <f t="shared" si="17"/>
        <v>49.798620000000028</v>
      </c>
      <c r="G190">
        <f t="shared" si="18"/>
        <v>2479.9025539044028</v>
      </c>
      <c r="H190">
        <f t="shared" si="19"/>
        <v>4.8396000000000186</v>
      </c>
      <c r="I190">
        <f t="shared" si="20"/>
        <v>23.421728160000178</v>
      </c>
    </row>
    <row r="191" spans="1:9" x14ac:dyDescent="0.3">
      <c r="A191">
        <v>14.4</v>
      </c>
      <c r="B191">
        <v>810</v>
      </c>
      <c r="C191">
        <f t="shared" si="14"/>
        <v>207.36</v>
      </c>
      <c r="D191">
        <f t="shared" si="15"/>
        <v>11664</v>
      </c>
      <c r="E191">
        <f t="shared" si="16"/>
        <v>807.43453199999999</v>
      </c>
      <c r="F191">
        <f t="shared" si="17"/>
        <v>2.5654680000000099</v>
      </c>
      <c r="G191">
        <f t="shared" si="18"/>
        <v>6.5816260590240505</v>
      </c>
      <c r="H191">
        <f t="shared" si="19"/>
        <v>-76.160399999999981</v>
      </c>
      <c r="I191">
        <f t="shared" si="20"/>
        <v>5800.4065281599969</v>
      </c>
    </row>
    <row r="192" spans="1:9" x14ac:dyDescent="0.3">
      <c r="A192">
        <v>31</v>
      </c>
      <c r="B192">
        <v>1639</v>
      </c>
      <c r="C192">
        <f t="shared" si="14"/>
        <v>961</v>
      </c>
      <c r="D192">
        <f t="shared" si="15"/>
        <v>50809</v>
      </c>
      <c r="E192">
        <f t="shared" si="16"/>
        <v>1157.76558</v>
      </c>
      <c r="F192">
        <f t="shared" si="17"/>
        <v>481.23442</v>
      </c>
      <c r="G192">
        <f t="shared" si="18"/>
        <v>231586.56699273639</v>
      </c>
      <c r="H192">
        <f t="shared" si="19"/>
        <v>752.83960000000002</v>
      </c>
      <c r="I192">
        <f t="shared" si="20"/>
        <v>566767.46332816</v>
      </c>
    </row>
    <row r="193" spans="1:9" x14ac:dyDescent="0.3">
      <c r="A193">
        <v>3.5</v>
      </c>
      <c r="B193">
        <v>577</v>
      </c>
      <c r="C193">
        <f t="shared" si="14"/>
        <v>12.25</v>
      </c>
      <c r="D193">
        <f t="shared" si="15"/>
        <v>2019.5</v>
      </c>
      <c r="E193">
        <f t="shared" si="16"/>
        <v>577.39787999999999</v>
      </c>
      <c r="F193">
        <f t="shared" si="17"/>
        <v>-0.39787999999998647</v>
      </c>
      <c r="G193">
        <f t="shared" si="18"/>
        <v>0.15830849439998923</v>
      </c>
      <c r="H193">
        <f t="shared" si="19"/>
        <v>-309.16039999999998</v>
      </c>
      <c r="I193">
        <f t="shared" si="20"/>
        <v>95580.152928159994</v>
      </c>
    </row>
    <row r="194" spans="1:9" x14ac:dyDescent="0.3">
      <c r="A194">
        <v>18.7</v>
      </c>
      <c r="B194">
        <v>922</v>
      </c>
      <c r="C194">
        <f t="shared" si="14"/>
        <v>349.69</v>
      </c>
      <c r="D194">
        <f t="shared" si="15"/>
        <v>17241.399999999998</v>
      </c>
      <c r="E194">
        <f t="shared" si="16"/>
        <v>898.18293599999993</v>
      </c>
      <c r="F194">
        <f t="shared" si="17"/>
        <v>23.817064000000073</v>
      </c>
      <c r="G194">
        <f t="shared" si="18"/>
        <v>567.25253758009944</v>
      </c>
      <c r="H194">
        <f t="shared" si="19"/>
        <v>35.839600000000019</v>
      </c>
      <c r="I194">
        <f t="shared" si="20"/>
        <v>1284.4769281600013</v>
      </c>
    </row>
    <row r="195" spans="1:9" x14ac:dyDescent="0.3">
      <c r="A195">
        <v>34.9</v>
      </c>
      <c r="B195">
        <v>944</v>
      </c>
      <c r="C195">
        <f t="shared" ref="C195:C258" si="21">PRODUCT(A195,A195)</f>
        <v>1218.01</v>
      </c>
      <c r="D195">
        <f t="shared" ref="D195:D258" si="22">PRODUCT(A195,B195)</f>
        <v>32945.599999999999</v>
      </c>
      <c r="E195">
        <f t="shared" ref="E195:E258" si="23">503.5329+PRODUCT(21.10428,A195)</f>
        <v>1240.0722719999999</v>
      </c>
      <c r="F195">
        <f t="shared" ref="F195:F258" si="24">B195-E195</f>
        <v>-296.07227199999988</v>
      </c>
      <c r="G195">
        <f t="shared" ref="G195:G258" si="25">PRODUCT(F195,F195)</f>
        <v>87658.790247241923</v>
      </c>
      <c r="H195">
        <f t="shared" ref="H195:H258" si="26">B195-886.1604</f>
        <v>57.839600000000019</v>
      </c>
      <c r="I195">
        <f t="shared" ref="I195:I258" si="27">PRODUCT(H195,H195)</f>
        <v>3345.4193281600024</v>
      </c>
    </row>
    <row r="196" spans="1:9" x14ac:dyDescent="0.3">
      <c r="A196">
        <v>9.6</v>
      </c>
      <c r="B196">
        <v>827</v>
      </c>
      <c r="C196">
        <f t="shared" si="21"/>
        <v>92.16</v>
      </c>
      <c r="D196">
        <f t="shared" si="22"/>
        <v>7939.2</v>
      </c>
      <c r="E196">
        <f t="shared" si="23"/>
        <v>706.13398799999993</v>
      </c>
      <c r="F196">
        <f t="shared" si="24"/>
        <v>120.86601200000007</v>
      </c>
      <c r="G196">
        <f t="shared" si="25"/>
        <v>14608.59285678416</v>
      </c>
      <c r="H196">
        <f t="shared" si="26"/>
        <v>-59.160399999999981</v>
      </c>
      <c r="I196">
        <f t="shared" si="27"/>
        <v>3499.952928159998</v>
      </c>
    </row>
    <row r="197" spans="1:9" x14ac:dyDescent="0.3">
      <c r="A197">
        <v>36.9</v>
      </c>
      <c r="B197">
        <v>1162</v>
      </c>
      <c r="C197">
        <f t="shared" si="21"/>
        <v>1361.61</v>
      </c>
      <c r="D197">
        <f t="shared" si="22"/>
        <v>42877.799999999996</v>
      </c>
      <c r="E197">
        <f t="shared" si="23"/>
        <v>1282.2808319999999</v>
      </c>
      <c r="F197">
        <f t="shared" si="24"/>
        <v>-120.28083199999992</v>
      </c>
      <c r="G197">
        <f t="shared" si="25"/>
        <v>14467.478546612205</v>
      </c>
      <c r="H197">
        <f t="shared" si="26"/>
        <v>275.83960000000002</v>
      </c>
      <c r="I197">
        <f t="shared" si="27"/>
        <v>76087.484928160004</v>
      </c>
    </row>
    <row r="198" spans="1:9" x14ac:dyDescent="0.3">
      <c r="A198">
        <v>24.8</v>
      </c>
      <c r="B198">
        <v>1007</v>
      </c>
      <c r="C198">
        <f t="shared" si="21"/>
        <v>615.04000000000008</v>
      </c>
      <c r="D198">
        <f t="shared" si="22"/>
        <v>24973.600000000002</v>
      </c>
      <c r="E198">
        <f t="shared" si="23"/>
        <v>1026.919044</v>
      </c>
      <c r="F198">
        <f t="shared" si="24"/>
        <v>-19.919043999999985</v>
      </c>
      <c r="G198">
        <f t="shared" si="25"/>
        <v>396.76831387393543</v>
      </c>
      <c r="H198">
        <f t="shared" si="26"/>
        <v>120.83960000000002</v>
      </c>
      <c r="I198">
        <f t="shared" si="27"/>
        <v>14602.208928160004</v>
      </c>
    </row>
    <row r="199" spans="1:9" x14ac:dyDescent="0.3">
      <c r="A199">
        <v>7.9</v>
      </c>
      <c r="B199">
        <v>723</v>
      </c>
      <c r="C199">
        <f t="shared" si="21"/>
        <v>62.410000000000004</v>
      </c>
      <c r="D199">
        <f t="shared" si="22"/>
        <v>5711.7</v>
      </c>
      <c r="E199">
        <f t="shared" si="23"/>
        <v>670.25671199999999</v>
      </c>
      <c r="F199">
        <f t="shared" si="24"/>
        <v>52.743288000000007</v>
      </c>
      <c r="G199">
        <f t="shared" si="25"/>
        <v>2781.8544290509449</v>
      </c>
      <c r="H199">
        <f t="shared" si="26"/>
        <v>-163.16039999999998</v>
      </c>
      <c r="I199">
        <f t="shared" si="27"/>
        <v>26621.316128159993</v>
      </c>
    </row>
    <row r="200" spans="1:9" x14ac:dyDescent="0.3">
      <c r="A200">
        <v>14.5</v>
      </c>
      <c r="B200">
        <v>356</v>
      </c>
      <c r="C200">
        <f t="shared" si="21"/>
        <v>210.25</v>
      </c>
      <c r="D200">
        <f t="shared" si="22"/>
        <v>5162</v>
      </c>
      <c r="E200">
        <f t="shared" si="23"/>
        <v>809.54495999999995</v>
      </c>
      <c r="F200">
        <f t="shared" si="24"/>
        <v>-453.54495999999995</v>
      </c>
      <c r="G200">
        <f t="shared" si="25"/>
        <v>205703.03074140154</v>
      </c>
      <c r="H200">
        <f t="shared" si="26"/>
        <v>-530.16039999999998</v>
      </c>
      <c r="I200">
        <f t="shared" si="27"/>
        <v>281070.04972815997</v>
      </c>
    </row>
    <row r="201" spans="1:9" x14ac:dyDescent="0.3">
      <c r="A201">
        <v>15.9</v>
      </c>
      <c r="B201">
        <v>886</v>
      </c>
      <c r="C201">
        <f t="shared" si="21"/>
        <v>252.81</v>
      </c>
      <c r="D201">
        <f t="shared" si="22"/>
        <v>14087.4</v>
      </c>
      <c r="E201">
        <f t="shared" si="23"/>
        <v>839.09095200000002</v>
      </c>
      <c r="F201">
        <f t="shared" si="24"/>
        <v>46.909047999999984</v>
      </c>
      <c r="G201">
        <f t="shared" si="25"/>
        <v>2200.4587842663027</v>
      </c>
      <c r="H201">
        <f t="shared" si="26"/>
        <v>-0.16039999999998145</v>
      </c>
      <c r="I201">
        <f t="shared" si="27"/>
        <v>2.5728159999994046E-2</v>
      </c>
    </row>
    <row r="202" spans="1:9" x14ac:dyDescent="0.3">
      <c r="A202">
        <v>7.8</v>
      </c>
      <c r="B202">
        <v>727</v>
      </c>
      <c r="C202">
        <f t="shared" si="21"/>
        <v>60.839999999999996</v>
      </c>
      <c r="D202">
        <f t="shared" si="22"/>
        <v>5670.5999999999995</v>
      </c>
      <c r="E202">
        <f t="shared" si="23"/>
        <v>668.14628399999992</v>
      </c>
      <c r="F202">
        <f t="shared" si="24"/>
        <v>58.853716000000077</v>
      </c>
      <c r="G202">
        <f t="shared" si="25"/>
        <v>3463.7598870086649</v>
      </c>
      <c r="H202">
        <f t="shared" si="26"/>
        <v>-159.16039999999998</v>
      </c>
      <c r="I202">
        <f t="shared" si="27"/>
        <v>25332.032928159995</v>
      </c>
    </row>
    <row r="203" spans="1:9" x14ac:dyDescent="0.3">
      <c r="A203">
        <v>20.7</v>
      </c>
      <c r="B203">
        <v>851</v>
      </c>
      <c r="C203">
        <f t="shared" si="21"/>
        <v>428.48999999999995</v>
      </c>
      <c r="D203">
        <f t="shared" si="22"/>
        <v>17615.7</v>
      </c>
      <c r="E203">
        <f t="shared" si="23"/>
        <v>940.39149599999996</v>
      </c>
      <c r="F203">
        <f t="shared" si="24"/>
        <v>-89.391495999999961</v>
      </c>
      <c r="G203">
        <f t="shared" si="25"/>
        <v>7990.839557118009</v>
      </c>
      <c r="H203">
        <f t="shared" si="26"/>
        <v>-35.160399999999981</v>
      </c>
      <c r="I203">
        <f t="shared" si="27"/>
        <v>1236.2537281599987</v>
      </c>
    </row>
    <row r="204" spans="1:9" x14ac:dyDescent="0.3">
      <c r="A204">
        <v>54.5</v>
      </c>
      <c r="B204">
        <v>1629</v>
      </c>
      <c r="C204">
        <f t="shared" si="21"/>
        <v>2970.25</v>
      </c>
      <c r="D204">
        <f t="shared" si="22"/>
        <v>88780.5</v>
      </c>
      <c r="E204">
        <f t="shared" si="23"/>
        <v>1653.7161599999999</v>
      </c>
      <c r="F204">
        <f t="shared" si="24"/>
        <v>-24.716159999999945</v>
      </c>
      <c r="G204">
        <f t="shared" si="25"/>
        <v>610.88856514559734</v>
      </c>
      <c r="H204">
        <f t="shared" si="26"/>
        <v>742.83960000000002</v>
      </c>
      <c r="I204">
        <f t="shared" si="27"/>
        <v>551810.67132815998</v>
      </c>
    </row>
    <row r="205" spans="1:9" x14ac:dyDescent="0.3">
      <c r="A205">
        <v>16.2</v>
      </c>
      <c r="B205">
        <v>335</v>
      </c>
      <c r="C205">
        <f t="shared" si="21"/>
        <v>262.44</v>
      </c>
      <c r="D205">
        <f t="shared" si="22"/>
        <v>5427</v>
      </c>
      <c r="E205">
        <f t="shared" si="23"/>
        <v>845.42223599999988</v>
      </c>
      <c r="F205">
        <f t="shared" si="24"/>
        <v>-510.42223599999988</v>
      </c>
      <c r="G205">
        <f t="shared" si="25"/>
        <v>260530.85900323957</v>
      </c>
      <c r="H205">
        <f t="shared" si="26"/>
        <v>-551.16039999999998</v>
      </c>
      <c r="I205">
        <f t="shared" si="27"/>
        <v>303777.78652815998</v>
      </c>
    </row>
    <row r="206" spans="1:9" x14ac:dyDescent="0.3">
      <c r="A206">
        <v>38.6</v>
      </c>
      <c r="B206">
        <v>1139</v>
      </c>
      <c r="C206">
        <f t="shared" si="21"/>
        <v>1489.96</v>
      </c>
      <c r="D206">
        <f t="shared" si="22"/>
        <v>43965.4</v>
      </c>
      <c r="E206">
        <f t="shared" si="23"/>
        <v>1318.1581080000001</v>
      </c>
      <c r="F206">
        <f t="shared" si="24"/>
        <v>-179.15810800000008</v>
      </c>
      <c r="G206">
        <f t="shared" si="25"/>
        <v>32097.627662139694</v>
      </c>
      <c r="H206">
        <f t="shared" si="26"/>
        <v>252.83960000000002</v>
      </c>
      <c r="I206">
        <f t="shared" si="27"/>
        <v>63927.863328160012</v>
      </c>
    </row>
    <row r="207" spans="1:9" x14ac:dyDescent="0.3">
      <c r="A207">
        <v>3.6</v>
      </c>
      <c r="B207">
        <v>384</v>
      </c>
      <c r="C207">
        <f t="shared" si="21"/>
        <v>12.96</v>
      </c>
      <c r="D207">
        <f t="shared" si="22"/>
        <v>1382.4</v>
      </c>
      <c r="E207">
        <f t="shared" si="23"/>
        <v>579.50830799999994</v>
      </c>
      <c r="F207">
        <f t="shared" si="24"/>
        <v>-195.50830799999994</v>
      </c>
      <c r="G207">
        <f t="shared" si="25"/>
        <v>38223.49849702284</v>
      </c>
      <c r="H207">
        <f t="shared" si="26"/>
        <v>-502.16039999999998</v>
      </c>
      <c r="I207">
        <f t="shared" si="27"/>
        <v>252165.06732815999</v>
      </c>
    </row>
    <row r="208" spans="1:9" x14ac:dyDescent="0.3">
      <c r="A208">
        <v>12</v>
      </c>
      <c r="B208">
        <v>961</v>
      </c>
      <c r="C208">
        <f t="shared" si="21"/>
        <v>144</v>
      </c>
      <c r="D208">
        <f t="shared" si="22"/>
        <v>11532</v>
      </c>
      <c r="E208">
        <f t="shared" si="23"/>
        <v>756.7842599999999</v>
      </c>
      <c r="F208">
        <f t="shared" si="24"/>
        <v>204.2157400000001</v>
      </c>
      <c r="G208">
        <f t="shared" si="25"/>
        <v>41704.068463747637</v>
      </c>
      <c r="H208">
        <f t="shared" si="26"/>
        <v>74.839600000000019</v>
      </c>
      <c r="I208">
        <f t="shared" si="27"/>
        <v>5600.965728160003</v>
      </c>
    </row>
    <row r="209" spans="1:9" x14ac:dyDescent="0.3">
      <c r="A209">
        <v>37.799999999999997</v>
      </c>
      <c r="B209">
        <v>1306</v>
      </c>
      <c r="C209">
        <f t="shared" si="21"/>
        <v>1428.8399999999997</v>
      </c>
      <c r="D209">
        <f t="shared" si="22"/>
        <v>49366.799999999996</v>
      </c>
      <c r="E209">
        <f t="shared" si="23"/>
        <v>1301.274684</v>
      </c>
      <c r="F209">
        <f t="shared" si="24"/>
        <v>4.7253160000000207</v>
      </c>
      <c r="G209">
        <f t="shared" si="25"/>
        <v>22.328611299856195</v>
      </c>
      <c r="H209">
        <f t="shared" si="26"/>
        <v>419.83960000000002</v>
      </c>
      <c r="I209">
        <f t="shared" si="27"/>
        <v>176265.28972816002</v>
      </c>
    </row>
    <row r="210" spans="1:9" x14ac:dyDescent="0.3">
      <c r="A210">
        <v>1.7</v>
      </c>
      <c r="B210">
        <v>967</v>
      </c>
      <c r="C210">
        <f t="shared" si="21"/>
        <v>2.8899999999999997</v>
      </c>
      <c r="D210">
        <f t="shared" si="22"/>
        <v>1643.8999999999999</v>
      </c>
      <c r="E210">
        <f t="shared" si="23"/>
        <v>539.41017599999998</v>
      </c>
      <c r="F210">
        <f t="shared" si="24"/>
        <v>427.58982400000002</v>
      </c>
      <c r="G210">
        <f t="shared" si="25"/>
        <v>182833.05758835099</v>
      </c>
      <c r="H210">
        <f t="shared" si="26"/>
        <v>80.839600000000019</v>
      </c>
      <c r="I210">
        <f t="shared" si="27"/>
        <v>6535.0409281600032</v>
      </c>
    </row>
    <row r="211" spans="1:9" x14ac:dyDescent="0.3">
      <c r="A211">
        <v>38.200000000000003</v>
      </c>
      <c r="B211">
        <v>1200</v>
      </c>
      <c r="C211">
        <f t="shared" si="21"/>
        <v>1459.2400000000002</v>
      </c>
      <c r="D211">
        <f t="shared" si="22"/>
        <v>45840</v>
      </c>
      <c r="E211">
        <f t="shared" si="23"/>
        <v>1309.716396</v>
      </c>
      <c r="F211">
        <f t="shared" si="24"/>
        <v>-109.71639600000003</v>
      </c>
      <c r="G211">
        <f t="shared" si="25"/>
        <v>12037.687551228822</v>
      </c>
      <c r="H211">
        <f t="shared" si="26"/>
        <v>313.83960000000002</v>
      </c>
      <c r="I211">
        <f t="shared" si="27"/>
        <v>98495.294528160011</v>
      </c>
    </row>
    <row r="212" spans="1:9" x14ac:dyDescent="0.3">
      <c r="A212">
        <v>10.7</v>
      </c>
      <c r="B212">
        <v>920</v>
      </c>
      <c r="C212">
        <f t="shared" si="21"/>
        <v>114.48999999999998</v>
      </c>
      <c r="D212">
        <f t="shared" si="22"/>
        <v>9844</v>
      </c>
      <c r="E212">
        <f t="shared" si="23"/>
        <v>729.34869600000002</v>
      </c>
      <c r="F212">
        <f t="shared" si="24"/>
        <v>190.65130399999998</v>
      </c>
      <c r="G212">
        <f t="shared" si="25"/>
        <v>36347.919716900411</v>
      </c>
      <c r="H212">
        <f t="shared" si="26"/>
        <v>33.839600000000019</v>
      </c>
      <c r="I212">
        <f t="shared" si="27"/>
        <v>1145.1185281600012</v>
      </c>
    </row>
    <row r="213" spans="1:9" x14ac:dyDescent="0.3">
      <c r="A213">
        <v>11.5</v>
      </c>
      <c r="B213">
        <v>894</v>
      </c>
      <c r="C213">
        <f t="shared" si="21"/>
        <v>132.25</v>
      </c>
      <c r="D213">
        <f t="shared" si="22"/>
        <v>10281</v>
      </c>
      <c r="E213">
        <f t="shared" si="23"/>
        <v>746.23212000000001</v>
      </c>
      <c r="F213">
        <f t="shared" si="24"/>
        <v>147.76787999999999</v>
      </c>
      <c r="G213">
        <f t="shared" si="25"/>
        <v>21835.346359694398</v>
      </c>
      <c r="H213">
        <f t="shared" si="26"/>
        <v>7.8396000000000186</v>
      </c>
      <c r="I213">
        <f t="shared" si="27"/>
        <v>61.45932816000029</v>
      </c>
    </row>
    <row r="214" spans="1:9" x14ac:dyDescent="0.3">
      <c r="A214">
        <v>2.2000000000000002</v>
      </c>
      <c r="B214">
        <v>496</v>
      </c>
      <c r="C214">
        <f t="shared" si="21"/>
        <v>4.8400000000000007</v>
      </c>
      <c r="D214">
        <f t="shared" si="22"/>
        <v>1091.2</v>
      </c>
      <c r="E214">
        <f t="shared" si="23"/>
        <v>549.96231599999999</v>
      </c>
      <c r="F214">
        <f t="shared" si="24"/>
        <v>-53.962315999999987</v>
      </c>
      <c r="G214">
        <f t="shared" si="25"/>
        <v>2911.9315480838545</v>
      </c>
      <c r="H214">
        <f t="shared" si="26"/>
        <v>-390.16039999999998</v>
      </c>
      <c r="I214">
        <f t="shared" si="27"/>
        <v>152225.13772815999</v>
      </c>
    </row>
    <row r="215" spans="1:9" x14ac:dyDescent="0.3">
      <c r="A215">
        <v>19.899999999999999</v>
      </c>
      <c r="B215">
        <v>975</v>
      </c>
      <c r="C215">
        <f t="shared" si="21"/>
        <v>396.00999999999993</v>
      </c>
      <c r="D215">
        <f t="shared" si="22"/>
        <v>19402.5</v>
      </c>
      <c r="E215">
        <f t="shared" si="23"/>
        <v>923.50807199999986</v>
      </c>
      <c r="F215">
        <f t="shared" si="24"/>
        <v>51.491928000000144</v>
      </c>
      <c r="G215">
        <f t="shared" si="25"/>
        <v>2651.4186491571986</v>
      </c>
      <c r="H215">
        <f t="shared" si="26"/>
        <v>88.839600000000019</v>
      </c>
      <c r="I215">
        <f t="shared" si="27"/>
        <v>7892.4745281600035</v>
      </c>
    </row>
    <row r="216" spans="1:9" x14ac:dyDescent="0.3">
      <c r="A216">
        <v>11</v>
      </c>
      <c r="B216">
        <v>946</v>
      </c>
      <c r="C216">
        <f t="shared" si="21"/>
        <v>121</v>
      </c>
      <c r="D216">
        <f t="shared" si="22"/>
        <v>10406</v>
      </c>
      <c r="E216">
        <f t="shared" si="23"/>
        <v>735.67998</v>
      </c>
      <c r="F216">
        <f t="shared" si="24"/>
        <v>210.32002</v>
      </c>
      <c r="G216">
        <f t="shared" si="25"/>
        <v>44234.510812800399</v>
      </c>
      <c r="H216">
        <f t="shared" si="26"/>
        <v>59.839600000000019</v>
      </c>
      <c r="I216">
        <f t="shared" si="27"/>
        <v>3580.7777281600024</v>
      </c>
    </row>
    <row r="217" spans="1:9" x14ac:dyDescent="0.3">
      <c r="A217">
        <v>9.3000000000000007</v>
      </c>
      <c r="B217">
        <v>499</v>
      </c>
      <c r="C217">
        <f t="shared" si="21"/>
        <v>86.490000000000009</v>
      </c>
      <c r="D217">
        <f t="shared" si="22"/>
        <v>4640.7000000000007</v>
      </c>
      <c r="E217">
        <f t="shared" si="23"/>
        <v>699.80270399999995</v>
      </c>
      <c r="F217">
        <f t="shared" si="24"/>
        <v>-200.80270399999995</v>
      </c>
      <c r="G217">
        <f t="shared" si="25"/>
        <v>40321.725933711597</v>
      </c>
      <c r="H217">
        <f t="shared" si="26"/>
        <v>-387.16039999999998</v>
      </c>
      <c r="I217">
        <f t="shared" si="27"/>
        <v>149893.17532816</v>
      </c>
    </row>
    <row r="218" spans="1:9" x14ac:dyDescent="0.3">
      <c r="A218">
        <v>16.399999999999999</v>
      </c>
      <c r="B218">
        <v>846</v>
      </c>
      <c r="C218">
        <f t="shared" si="21"/>
        <v>268.95999999999998</v>
      </c>
      <c r="D218">
        <f t="shared" si="22"/>
        <v>13874.4</v>
      </c>
      <c r="E218">
        <f t="shared" si="23"/>
        <v>849.64309200000002</v>
      </c>
      <c r="F218">
        <f t="shared" si="24"/>
        <v>-3.6430920000000242</v>
      </c>
      <c r="G218">
        <f t="shared" si="25"/>
        <v>13.272119320464176</v>
      </c>
      <c r="H218">
        <f t="shared" si="26"/>
        <v>-40.160399999999981</v>
      </c>
      <c r="I218">
        <f t="shared" si="27"/>
        <v>1612.8577281599985</v>
      </c>
    </row>
    <row r="219" spans="1:9" x14ac:dyDescent="0.3">
      <c r="A219">
        <v>10.5</v>
      </c>
      <c r="B219">
        <v>879</v>
      </c>
      <c r="C219">
        <f t="shared" si="21"/>
        <v>110.25</v>
      </c>
      <c r="D219">
        <f t="shared" si="22"/>
        <v>9229.5</v>
      </c>
      <c r="E219">
        <f t="shared" si="23"/>
        <v>725.12783999999999</v>
      </c>
      <c r="F219">
        <f t="shared" si="24"/>
        <v>153.87216000000001</v>
      </c>
      <c r="G219">
        <f t="shared" si="25"/>
        <v>23676.641623065603</v>
      </c>
      <c r="H219">
        <f t="shared" si="26"/>
        <v>-7.1603999999999814</v>
      </c>
      <c r="I219">
        <f t="shared" si="27"/>
        <v>51.271328159999733</v>
      </c>
    </row>
    <row r="220" spans="1:9" x14ac:dyDescent="0.3">
      <c r="A220">
        <v>16.399999999999999</v>
      </c>
      <c r="B220">
        <v>879</v>
      </c>
      <c r="C220">
        <f t="shared" si="21"/>
        <v>268.95999999999998</v>
      </c>
      <c r="D220">
        <f t="shared" si="22"/>
        <v>14415.599999999999</v>
      </c>
      <c r="E220">
        <f t="shared" si="23"/>
        <v>849.64309200000002</v>
      </c>
      <c r="F220">
        <f t="shared" si="24"/>
        <v>29.356907999999976</v>
      </c>
      <c r="G220">
        <f t="shared" si="25"/>
        <v>861.82804732046259</v>
      </c>
      <c r="H220">
        <f t="shared" si="26"/>
        <v>-7.1603999999999814</v>
      </c>
      <c r="I220">
        <f t="shared" si="27"/>
        <v>51.271328159999733</v>
      </c>
    </row>
    <row r="221" spans="1:9" x14ac:dyDescent="0.3">
      <c r="A221">
        <v>13.4</v>
      </c>
      <c r="B221">
        <v>661</v>
      </c>
      <c r="C221">
        <f t="shared" si="21"/>
        <v>179.56</v>
      </c>
      <c r="D221">
        <f t="shared" si="22"/>
        <v>8857.4</v>
      </c>
      <c r="E221">
        <f t="shared" si="23"/>
        <v>786.33025199999997</v>
      </c>
      <c r="F221">
        <f t="shared" si="24"/>
        <v>-125.33025199999997</v>
      </c>
      <c r="G221">
        <f t="shared" si="25"/>
        <v>15707.672066383497</v>
      </c>
      <c r="H221">
        <f t="shared" si="26"/>
        <v>-225.16039999999998</v>
      </c>
      <c r="I221">
        <f t="shared" si="27"/>
        <v>50697.205728159992</v>
      </c>
    </row>
    <row r="222" spans="1:9" x14ac:dyDescent="0.3">
      <c r="A222">
        <v>13.6</v>
      </c>
      <c r="B222">
        <v>909</v>
      </c>
      <c r="C222">
        <f t="shared" si="21"/>
        <v>184.95999999999998</v>
      </c>
      <c r="D222">
        <f t="shared" si="22"/>
        <v>12362.4</v>
      </c>
      <c r="E222">
        <f t="shared" si="23"/>
        <v>790.55110799999989</v>
      </c>
      <c r="F222">
        <f t="shared" si="24"/>
        <v>118.44889200000011</v>
      </c>
      <c r="G222">
        <f t="shared" si="25"/>
        <v>14030.140016027692</v>
      </c>
      <c r="H222">
        <f t="shared" si="26"/>
        <v>22.839600000000019</v>
      </c>
      <c r="I222">
        <f t="shared" si="27"/>
        <v>521.64732816000082</v>
      </c>
    </row>
    <row r="223" spans="1:9" x14ac:dyDescent="0.3">
      <c r="A223">
        <v>23.3</v>
      </c>
      <c r="B223">
        <v>1194</v>
      </c>
      <c r="C223">
        <f t="shared" si="21"/>
        <v>542.89</v>
      </c>
      <c r="D223">
        <f t="shared" si="22"/>
        <v>27820.2</v>
      </c>
      <c r="E223">
        <f t="shared" si="23"/>
        <v>995.26262399999996</v>
      </c>
      <c r="F223">
        <f t="shared" si="24"/>
        <v>198.73737600000004</v>
      </c>
      <c r="G223">
        <f t="shared" si="25"/>
        <v>39496.544619365392</v>
      </c>
      <c r="H223">
        <f t="shared" si="26"/>
        <v>307.83960000000002</v>
      </c>
      <c r="I223">
        <f t="shared" si="27"/>
        <v>94765.219328160005</v>
      </c>
    </row>
    <row r="224" spans="1:9" x14ac:dyDescent="0.3">
      <c r="A224">
        <v>30</v>
      </c>
      <c r="B224">
        <v>1440</v>
      </c>
      <c r="C224">
        <f t="shared" si="21"/>
        <v>900</v>
      </c>
      <c r="D224">
        <f t="shared" si="22"/>
        <v>43200</v>
      </c>
      <c r="E224">
        <f t="shared" si="23"/>
        <v>1136.6613</v>
      </c>
      <c r="F224">
        <f t="shared" si="24"/>
        <v>303.33870000000002</v>
      </c>
      <c r="G224">
        <f t="shared" si="25"/>
        <v>92014.366917690015</v>
      </c>
      <c r="H224">
        <f t="shared" si="26"/>
        <v>553.83960000000002</v>
      </c>
      <c r="I224">
        <f t="shared" si="27"/>
        <v>306738.30252816004</v>
      </c>
    </row>
    <row r="225" spans="1:9" x14ac:dyDescent="0.3">
      <c r="A225">
        <v>33.4</v>
      </c>
      <c r="B225">
        <v>717</v>
      </c>
      <c r="C225">
        <f t="shared" si="21"/>
        <v>1115.56</v>
      </c>
      <c r="D225">
        <f t="shared" si="22"/>
        <v>23947.8</v>
      </c>
      <c r="E225">
        <f t="shared" si="23"/>
        <v>1208.4158519999999</v>
      </c>
      <c r="F225">
        <f t="shared" si="24"/>
        <v>-491.41585199999986</v>
      </c>
      <c r="G225">
        <f t="shared" si="25"/>
        <v>241489.53959688576</v>
      </c>
      <c r="H225">
        <f t="shared" si="26"/>
        <v>-169.16039999999998</v>
      </c>
      <c r="I225">
        <f t="shared" si="27"/>
        <v>28615.240928159994</v>
      </c>
    </row>
    <row r="226" spans="1:9" x14ac:dyDescent="0.3">
      <c r="A226">
        <v>13.8</v>
      </c>
      <c r="B226">
        <v>1066</v>
      </c>
      <c r="C226">
        <f t="shared" si="21"/>
        <v>190.44000000000003</v>
      </c>
      <c r="D226">
        <f t="shared" si="22"/>
        <v>14710.800000000001</v>
      </c>
      <c r="E226">
        <f t="shared" si="23"/>
        <v>794.77196400000003</v>
      </c>
      <c r="F226">
        <f t="shared" si="24"/>
        <v>271.22803599999997</v>
      </c>
      <c r="G226">
        <f t="shared" si="25"/>
        <v>73564.647512417287</v>
      </c>
      <c r="H226">
        <f t="shared" si="26"/>
        <v>179.83960000000002</v>
      </c>
      <c r="I226">
        <f t="shared" si="27"/>
        <v>32342.281728160007</v>
      </c>
    </row>
    <row r="227" spans="1:9" x14ac:dyDescent="0.3">
      <c r="A227">
        <v>2.5</v>
      </c>
      <c r="B227">
        <v>278</v>
      </c>
      <c r="C227">
        <f t="shared" si="21"/>
        <v>6.25</v>
      </c>
      <c r="D227">
        <f t="shared" si="22"/>
        <v>695</v>
      </c>
      <c r="E227">
        <f t="shared" si="23"/>
        <v>556.29359999999997</v>
      </c>
      <c r="F227">
        <f t="shared" si="24"/>
        <v>-278.29359999999997</v>
      </c>
      <c r="G227">
        <f t="shared" si="25"/>
        <v>77447.327800959989</v>
      </c>
      <c r="H227">
        <f t="shared" si="26"/>
        <v>-608.16039999999998</v>
      </c>
      <c r="I227">
        <f t="shared" si="27"/>
        <v>369859.07212815998</v>
      </c>
    </row>
    <row r="228" spans="1:9" x14ac:dyDescent="0.3">
      <c r="A228">
        <v>24.3</v>
      </c>
      <c r="B228">
        <v>806</v>
      </c>
      <c r="C228">
        <f t="shared" si="21"/>
        <v>590.49</v>
      </c>
      <c r="D228">
        <f t="shared" si="22"/>
        <v>19585.8</v>
      </c>
      <c r="E228">
        <f t="shared" si="23"/>
        <v>1016.366904</v>
      </c>
      <c r="F228">
        <f t="shared" si="24"/>
        <v>-210.36690399999998</v>
      </c>
      <c r="G228">
        <f t="shared" si="25"/>
        <v>44254.234298545205</v>
      </c>
      <c r="H228">
        <f t="shared" si="26"/>
        <v>-80.160399999999981</v>
      </c>
      <c r="I228">
        <f t="shared" si="27"/>
        <v>6425.6897281599968</v>
      </c>
    </row>
    <row r="229" spans="1:9" x14ac:dyDescent="0.3">
      <c r="A229">
        <v>34.200000000000003</v>
      </c>
      <c r="B229">
        <v>1197</v>
      </c>
      <c r="C229">
        <f t="shared" si="21"/>
        <v>1169.6400000000001</v>
      </c>
      <c r="D229">
        <f t="shared" si="22"/>
        <v>40937.4</v>
      </c>
      <c r="E229">
        <f t="shared" si="23"/>
        <v>1225.299276</v>
      </c>
      <c r="F229">
        <f t="shared" si="24"/>
        <v>-28.299275999999963</v>
      </c>
      <c r="G229">
        <f t="shared" si="25"/>
        <v>800.84902212417398</v>
      </c>
      <c r="H229">
        <f t="shared" si="26"/>
        <v>310.83960000000002</v>
      </c>
      <c r="I229">
        <f t="shared" si="27"/>
        <v>96621.256928160015</v>
      </c>
    </row>
    <row r="230" spans="1:9" x14ac:dyDescent="0.3">
      <c r="A230">
        <v>29.6</v>
      </c>
      <c r="B230">
        <v>1129</v>
      </c>
      <c r="C230">
        <f t="shared" si="21"/>
        <v>876.16000000000008</v>
      </c>
      <c r="D230">
        <f t="shared" si="22"/>
        <v>33418.400000000001</v>
      </c>
      <c r="E230">
        <f t="shared" si="23"/>
        <v>1128.2195879999999</v>
      </c>
      <c r="F230">
        <f t="shared" si="24"/>
        <v>0.78041200000006938</v>
      </c>
      <c r="G230">
        <f t="shared" si="25"/>
        <v>0.60904288974410825</v>
      </c>
      <c r="H230">
        <f t="shared" si="26"/>
        <v>242.83960000000002</v>
      </c>
      <c r="I230">
        <f t="shared" si="27"/>
        <v>58971.071328160011</v>
      </c>
    </row>
    <row r="231" spans="1:9" x14ac:dyDescent="0.3">
      <c r="A231">
        <v>15.2</v>
      </c>
      <c r="B231">
        <v>764</v>
      </c>
      <c r="C231">
        <f t="shared" si="21"/>
        <v>231.04</v>
      </c>
      <c r="D231">
        <f t="shared" si="22"/>
        <v>11612.8</v>
      </c>
      <c r="E231">
        <f t="shared" si="23"/>
        <v>824.31795599999998</v>
      </c>
      <c r="F231">
        <f t="shared" si="24"/>
        <v>-60.317955999999981</v>
      </c>
      <c r="G231">
        <f t="shared" si="25"/>
        <v>3638.2558160179337</v>
      </c>
      <c r="H231">
        <f t="shared" si="26"/>
        <v>-122.16039999999998</v>
      </c>
      <c r="I231">
        <f t="shared" si="27"/>
        <v>14923.163328159995</v>
      </c>
    </row>
    <row r="232" spans="1:9" x14ac:dyDescent="0.3">
      <c r="A232">
        <v>8.6999999999999993</v>
      </c>
      <c r="B232">
        <v>807</v>
      </c>
      <c r="C232">
        <f t="shared" si="21"/>
        <v>75.689999999999984</v>
      </c>
      <c r="D232">
        <f t="shared" si="22"/>
        <v>7020.9</v>
      </c>
      <c r="E232">
        <f t="shared" si="23"/>
        <v>687.14013599999998</v>
      </c>
      <c r="F232">
        <f t="shared" si="24"/>
        <v>119.85986400000002</v>
      </c>
      <c r="G232">
        <f t="shared" si="25"/>
        <v>14366.3869980985</v>
      </c>
      <c r="H232">
        <f t="shared" si="26"/>
        <v>-79.160399999999981</v>
      </c>
      <c r="I232">
        <f t="shared" si="27"/>
        <v>6266.3689281599973</v>
      </c>
    </row>
    <row r="233" spans="1:9" x14ac:dyDescent="0.3">
      <c r="A233">
        <v>30.4</v>
      </c>
      <c r="B233">
        <v>1208</v>
      </c>
      <c r="C233">
        <f t="shared" si="21"/>
        <v>924.16</v>
      </c>
      <c r="D233">
        <f t="shared" si="22"/>
        <v>36723.199999999997</v>
      </c>
      <c r="E233">
        <f t="shared" si="23"/>
        <v>1145.103012</v>
      </c>
      <c r="F233">
        <f t="shared" si="24"/>
        <v>62.896987999999965</v>
      </c>
      <c r="G233">
        <f t="shared" si="25"/>
        <v>3956.0310994721394</v>
      </c>
      <c r="H233">
        <f t="shared" si="26"/>
        <v>321.83960000000002</v>
      </c>
      <c r="I233">
        <f t="shared" si="27"/>
        <v>103580.72812816002</v>
      </c>
    </row>
    <row r="234" spans="1:9" x14ac:dyDescent="0.3">
      <c r="A234">
        <v>51.9</v>
      </c>
      <c r="B234">
        <v>1332</v>
      </c>
      <c r="C234">
        <f t="shared" si="21"/>
        <v>2693.6099999999997</v>
      </c>
      <c r="D234">
        <f t="shared" si="22"/>
        <v>69130.8</v>
      </c>
      <c r="E234">
        <f t="shared" si="23"/>
        <v>1598.8450319999999</v>
      </c>
      <c r="F234">
        <f t="shared" si="24"/>
        <v>-266.84503199999995</v>
      </c>
      <c r="G234">
        <f t="shared" si="25"/>
        <v>71206.271103081002</v>
      </c>
      <c r="H234">
        <f t="shared" si="26"/>
        <v>445.83960000000002</v>
      </c>
      <c r="I234">
        <f t="shared" si="27"/>
        <v>198772.94892816001</v>
      </c>
    </row>
    <row r="235" spans="1:9" x14ac:dyDescent="0.3">
      <c r="A235">
        <v>3.9</v>
      </c>
      <c r="B235">
        <v>391</v>
      </c>
      <c r="C235">
        <f t="shared" si="21"/>
        <v>15.209999999999999</v>
      </c>
      <c r="D235">
        <f t="shared" si="22"/>
        <v>1524.8999999999999</v>
      </c>
      <c r="E235">
        <f t="shared" si="23"/>
        <v>585.83959200000004</v>
      </c>
      <c r="F235">
        <f t="shared" si="24"/>
        <v>-194.83959200000004</v>
      </c>
      <c r="G235">
        <f t="shared" si="25"/>
        <v>37962.466610726478</v>
      </c>
      <c r="H235">
        <f t="shared" si="26"/>
        <v>-495.16039999999998</v>
      </c>
      <c r="I235">
        <f t="shared" si="27"/>
        <v>245183.82172815999</v>
      </c>
    </row>
    <row r="236" spans="1:9" x14ac:dyDescent="0.3">
      <c r="A236">
        <v>15.6</v>
      </c>
      <c r="B236">
        <v>914</v>
      </c>
      <c r="C236">
        <f t="shared" si="21"/>
        <v>243.35999999999999</v>
      </c>
      <c r="D236">
        <f t="shared" si="22"/>
        <v>14258.4</v>
      </c>
      <c r="E236">
        <f t="shared" si="23"/>
        <v>832.75966799999992</v>
      </c>
      <c r="F236">
        <f t="shared" si="24"/>
        <v>81.24033200000008</v>
      </c>
      <c r="G236">
        <f t="shared" si="25"/>
        <v>6599.991543470237</v>
      </c>
      <c r="H236">
        <f t="shared" si="26"/>
        <v>27.839600000000019</v>
      </c>
      <c r="I236">
        <f t="shared" si="27"/>
        <v>775.04332816000101</v>
      </c>
    </row>
    <row r="237" spans="1:9" x14ac:dyDescent="0.3">
      <c r="A237">
        <v>3.5</v>
      </c>
      <c r="B237">
        <v>733</v>
      </c>
      <c r="C237">
        <f t="shared" si="21"/>
        <v>12.25</v>
      </c>
      <c r="D237">
        <f t="shared" si="22"/>
        <v>2565.5</v>
      </c>
      <c r="E237">
        <f t="shared" si="23"/>
        <v>577.39787999999999</v>
      </c>
      <c r="F237">
        <f t="shared" si="24"/>
        <v>155.60212000000001</v>
      </c>
      <c r="G237">
        <f t="shared" si="25"/>
        <v>24212.019748494404</v>
      </c>
      <c r="H237">
        <f t="shared" si="26"/>
        <v>-153.16039999999998</v>
      </c>
      <c r="I237">
        <f t="shared" si="27"/>
        <v>23458.108128159995</v>
      </c>
    </row>
    <row r="238" spans="1:9" x14ac:dyDescent="0.3">
      <c r="A238">
        <v>26.6</v>
      </c>
      <c r="B238">
        <v>991</v>
      </c>
      <c r="C238">
        <f t="shared" si="21"/>
        <v>707.56000000000006</v>
      </c>
      <c r="D238">
        <f t="shared" si="22"/>
        <v>26360.600000000002</v>
      </c>
      <c r="E238">
        <f t="shared" si="23"/>
        <v>1064.9067480000001</v>
      </c>
      <c r="F238">
        <f t="shared" si="24"/>
        <v>-73.906748000000107</v>
      </c>
      <c r="G238">
        <f t="shared" si="25"/>
        <v>5462.2073999355198</v>
      </c>
      <c r="H238">
        <f t="shared" si="26"/>
        <v>104.83960000000002</v>
      </c>
      <c r="I238">
        <f t="shared" si="27"/>
        <v>10991.341728160003</v>
      </c>
    </row>
    <row r="239" spans="1:9" x14ac:dyDescent="0.3">
      <c r="A239">
        <v>11.8</v>
      </c>
      <c r="B239">
        <v>389</v>
      </c>
      <c r="C239">
        <f t="shared" si="21"/>
        <v>139.24</v>
      </c>
      <c r="D239">
        <f t="shared" si="22"/>
        <v>4590.2000000000007</v>
      </c>
      <c r="E239">
        <f t="shared" si="23"/>
        <v>752.56340399999999</v>
      </c>
      <c r="F239">
        <f t="shared" si="24"/>
        <v>-363.56340399999999</v>
      </c>
      <c r="G239">
        <f t="shared" si="25"/>
        <v>132178.34872806721</v>
      </c>
      <c r="H239">
        <f t="shared" si="26"/>
        <v>-497.16039999999998</v>
      </c>
      <c r="I239">
        <f t="shared" si="27"/>
        <v>247168.46332815997</v>
      </c>
    </row>
    <row r="240" spans="1:9" x14ac:dyDescent="0.3">
      <c r="A240">
        <v>8.6999999999999993</v>
      </c>
      <c r="B240">
        <v>933</v>
      </c>
      <c r="C240">
        <f t="shared" si="21"/>
        <v>75.689999999999984</v>
      </c>
      <c r="D240">
        <f t="shared" si="22"/>
        <v>8117.0999999999995</v>
      </c>
      <c r="E240">
        <f t="shared" si="23"/>
        <v>687.14013599999998</v>
      </c>
      <c r="F240">
        <f t="shared" si="24"/>
        <v>245.85986400000002</v>
      </c>
      <c r="G240">
        <f t="shared" si="25"/>
        <v>60447.0727260985</v>
      </c>
      <c r="H240">
        <f t="shared" si="26"/>
        <v>46.839600000000019</v>
      </c>
      <c r="I240">
        <f t="shared" si="27"/>
        <v>2193.9481281600019</v>
      </c>
    </row>
    <row r="241" spans="1:9" x14ac:dyDescent="0.3">
      <c r="A241">
        <v>4.3</v>
      </c>
      <c r="B241">
        <v>1034</v>
      </c>
      <c r="C241">
        <f t="shared" si="21"/>
        <v>18.489999999999998</v>
      </c>
      <c r="D241">
        <f t="shared" si="22"/>
        <v>4446.2</v>
      </c>
      <c r="E241">
        <f t="shared" si="23"/>
        <v>594.28130399999998</v>
      </c>
      <c r="F241">
        <f t="shared" si="24"/>
        <v>439.71869600000002</v>
      </c>
      <c r="G241">
        <f t="shared" si="25"/>
        <v>193352.53161194045</v>
      </c>
      <c r="H241">
        <f t="shared" si="26"/>
        <v>147.83960000000002</v>
      </c>
      <c r="I241">
        <f t="shared" si="27"/>
        <v>21856.547328160006</v>
      </c>
    </row>
    <row r="242" spans="1:9" x14ac:dyDescent="0.3">
      <c r="A242">
        <v>10.6</v>
      </c>
      <c r="B242">
        <v>895</v>
      </c>
      <c r="C242">
        <f t="shared" si="21"/>
        <v>112.36</v>
      </c>
      <c r="D242">
        <f t="shared" si="22"/>
        <v>9487</v>
      </c>
      <c r="E242">
        <f t="shared" si="23"/>
        <v>727.23826799999995</v>
      </c>
      <c r="F242">
        <f t="shared" si="24"/>
        <v>167.76173200000005</v>
      </c>
      <c r="G242">
        <f t="shared" si="25"/>
        <v>28143.998723639841</v>
      </c>
      <c r="H242">
        <f t="shared" si="26"/>
        <v>8.8396000000000186</v>
      </c>
      <c r="I242">
        <f t="shared" si="27"/>
        <v>78.138528160000334</v>
      </c>
    </row>
    <row r="243" spans="1:9" x14ac:dyDescent="0.3">
      <c r="A243">
        <v>12.7</v>
      </c>
      <c r="B243">
        <v>1157</v>
      </c>
      <c r="C243">
        <f t="shared" si="21"/>
        <v>161.29</v>
      </c>
      <c r="D243">
        <f t="shared" si="22"/>
        <v>14693.9</v>
      </c>
      <c r="E243">
        <f t="shared" si="23"/>
        <v>771.55725599999994</v>
      </c>
      <c r="F243">
        <f t="shared" si="24"/>
        <v>385.44274400000006</v>
      </c>
      <c r="G243">
        <f t="shared" si="25"/>
        <v>148566.10890224957</v>
      </c>
      <c r="H243">
        <f t="shared" si="26"/>
        <v>270.83960000000002</v>
      </c>
      <c r="I243">
        <f t="shared" si="27"/>
        <v>73354.08892816001</v>
      </c>
    </row>
    <row r="244" spans="1:9" x14ac:dyDescent="0.3">
      <c r="A244">
        <v>16.2</v>
      </c>
      <c r="B244">
        <v>816</v>
      </c>
      <c r="C244">
        <f t="shared" si="21"/>
        <v>262.44</v>
      </c>
      <c r="D244">
        <f t="shared" si="22"/>
        <v>13219.199999999999</v>
      </c>
      <c r="E244">
        <f t="shared" si="23"/>
        <v>845.42223599999988</v>
      </c>
      <c r="F244">
        <f t="shared" si="24"/>
        <v>-29.422235999999884</v>
      </c>
      <c r="G244">
        <f t="shared" si="25"/>
        <v>865.66797123968922</v>
      </c>
      <c r="H244">
        <f t="shared" si="26"/>
        <v>-70.160399999999981</v>
      </c>
      <c r="I244">
        <f t="shared" si="27"/>
        <v>4922.4817281599971</v>
      </c>
    </row>
    <row r="245" spans="1:9" x14ac:dyDescent="0.3">
      <c r="A245">
        <v>4.5999999999999996</v>
      </c>
      <c r="B245">
        <v>290</v>
      </c>
      <c r="C245">
        <f t="shared" si="21"/>
        <v>21.159999999999997</v>
      </c>
      <c r="D245">
        <f t="shared" si="22"/>
        <v>1334</v>
      </c>
      <c r="E245">
        <f t="shared" si="23"/>
        <v>600.61258799999996</v>
      </c>
      <c r="F245">
        <f t="shared" si="24"/>
        <v>-310.61258799999996</v>
      </c>
      <c r="G245">
        <f t="shared" si="25"/>
        <v>96480.179824057719</v>
      </c>
      <c r="H245">
        <f t="shared" si="26"/>
        <v>-596.16039999999998</v>
      </c>
      <c r="I245">
        <f t="shared" si="27"/>
        <v>355407.22252815997</v>
      </c>
    </row>
    <row r="246" spans="1:9" x14ac:dyDescent="0.3">
      <c r="A246">
        <v>14</v>
      </c>
      <c r="B246">
        <v>1083</v>
      </c>
      <c r="C246">
        <f t="shared" si="21"/>
        <v>196</v>
      </c>
      <c r="D246">
        <f t="shared" si="22"/>
        <v>15162</v>
      </c>
      <c r="E246">
        <f t="shared" si="23"/>
        <v>798.99281999999994</v>
      </c>
      <c r="F246">
        <f t="shared" si="24"/>
        <v>284.00718000000006</v>
      </c>
      <c r="G246">
        <f t="shared" si="25"/>
        <v>80660.078291552432</v>
      </c>
      <c r="H246">
        <f t="shared" si="26"/>
        <v>196.83960000000002</v>
      </c>
      <c r="I246">
        <f t="shared" si="27"/>
        <v>38745.828128160007</v>
      </c>
    </row>
    <row r="247" spans="1:9" x14ac:dyDescent="0.3">
      <c r="A247">
        <v>5.6</v>
      </c>
      <c r="B247">
        <v>883</v>
      </c>
      <c r="C247">
        <f t="shared" si="21"/>
        <v>31.359999999999996</v>
      </c>
      <c r="D247">
        <f t="shared" si="22"/>
        <v>4944.7999999999993</v>
      </c>
      <c r="E247">
        <f t="shared" si="23"/>
        <v>621.71686799999998</v>
      </c>
      <c r="F247">
        <f t="shared" si="24"/>
        <v>261.28313200000002</v>
      </c>
      <c r="G247">
        <f t="shared" si="25"/>
        <v>68268.87506772943</v>
      </c>
      <c r="H247">
        <f t="shared" si="26"/>
        <v>-3.1603999999999814</v>
      </c>
      <c r="I247">
        <f t="shared" si="27"/>
        <v>9.9881281599998832</v>
      </c>
    </row>
    <row r="248" spans="1:9" x14ac:dyDescent="0.3">
      <c r="A248">
        <v>7.6</v>
      </c>
      <c r="B248">
        <v>819</v>
      </c>
      <c r="C248">
        <f t="shared" si="21"/>
        <v>57.76</v>
      </c>
      <c r="D248">
        <f t="shared" si="22"/>
        <v>6224.4</v>
      </c>
      <c r="E248">
        <f t="shared" si="23"/>
        <v>663.92542800000001</v>
      </c>
      <c r="F248">
        <f t="shared" si="24"/>
        <v>155.07457199999999</v>
      </c>
      <c r="G248">
        <f t="shared" si="25"/>
        <v>24048.122880983181</v>
      </c>
      <c r="H248">
        <f t="shared" si="26"/>
        <v>-67.160399999999981</v>
      </c>
      <c r="I248">
        <f t="shared" si="27"/>
        <v>4510.5193281599977</v>
      </c>
    </row>
    <row r="249" spans="1:9" x14ac:dyDescent="0.3">
      <c r="A249">
        <v>12.9</v>
      </c>
      <c r="B249">
        <v>562</v>
      </c>
      <c r="C249">
        <f t="shared" si="21"/>
        <v>166.41</v>
      </c>
      <c r="D249">
        <f t="shared" si="22"/>
        <v>7249.8</v>
      </c>
      <c r="E249">
        <f t="shared" si="23"/>
        <v>775.77811199999996</v>
      </c>
      <c r="F249">
        <f t="shared" si="24"/>
        <v>-213.77811199999996</v>
      </c>
      <c r="G249">
        <f t="shared" si="25"/>
        <v>45701.081170284531</v>
      </c>
      <c r="H249">
        <f t="shared" si="26"/>
        <v>-324.16039999999998</v>
      </c>
      <c r="I249">
        <f t="shared" si="27"/>
        <v>105079.96492815998</v>
      </c>
    </row>
    <row r="250" spans="1:9" x14ac:dyDescent="0.3">
      <c r="A250">
        <v>15.2</v>
      </c>
      <c r="B250">
        <v>875</v>
      </c>
      <c r="C250">
        <f t="shared" si="21"/>
        <v>231.04</v>
      </c>
      <c r="D250">
        <f t="shared" si="22"/>
        <v>13300</v>
      </c>
      <c r="E250">
        <f t="shared" si="23"/>
        <v>824.31795599999998</v>
      </c>
      <c r="F250">
        <f t="shared" si="24"/>
        <v>50.682044000000019</v>
      </c>
      <c r="G250">
        <f t="shared" si="25"/>
        <v>2568.6695840179377</v>
      </c>
      <c r="H250">
        <f t="shared" si="26"/>
        <v>-11.160399999999981</v>
      </c>
      <c r="I250">
        <f t="shared" si="27"/>
        <v>124.55452815999959</v>
      </c>
    </row>
    <row r="251" spans="1:9" x14ac:dyDescent="0.3">
      <c r="A251">
        <v>15.8</v>
      </c>
      <c r="B251">
        <v>858</v>
      </c>
      <c r="C251">
        <f t="shared" si="21"/>
        <v>249.64000000000001</v>
      </c>
      <c r="D251">
        <f t="shared" si="22"/>
        <v>13556.400000000001</v>
      </c>
      <c r="E251">
        <f t="shared" si="23"/>
        <v>836.98052400000006</v>
      </c>
      <c r="F251">
        <f t="shared" si="24"/>
        <v>21.019475999999941</v>
      </c>
      <c r="G251">
        <f t="shared" si="25"/>
        <v>441.81837131457348</v>
      </c>
      <c r="H251">
        <f t="shared" si="26"/>
        <v>-28.160399999999981</v>
      </c>
      <c r="I251">
        <f t="shared" si="27"/>
        <v>793.00812815999893</v>
      </c>
    </row>
    <row r="252" spans="1:9" x14ac:dyDescent="0.3">
      <c r="A252">
        <v>14.8</v>
      </c>
      <c r="B252">
        <v>1231</v>
      </c>
      <c r="C252">
        <f t="shared" si="21"/>
        <v>219.04000000000002</v>
      </c>
      <c r="D252">
        <f t="shared" si="22"/>
        <v>18218.8</v>
      </c>
      <c r="E252">
        <f t="shared" si="23"/>
        <v>815.87624400000004</v>
      </c>
      <c r="F252">
        <f t="shared" si="24"/>
        <v>415.12375599999996</v>
      </c>
      <c r="G252">
        <f t="shared" si="25"/>
        <v>172327.73279554749</v>
      </c>
      <c r="H252">
        <f t="shared" si="26"/>
        <v>344.83960000000002</v>
      </c>
      <c r="I252">
        <f t="shared" si="27"/>
        <v>118914.34972816001</v>
      </c>
    </row>
    <row r="253" spans="1:9" x14ac:dyDescent="0.3">
      <c r="A253">
        <v>39.6</v>
      </c>
      <c r="B253">
        <v>1441</v>
      </c>
      <c r="C253">
        <f t="shared" si="21"/>
        <v>1568.16</v>
      </c>
      <c r="D253">
        <f t="shared" si="22"/>
        <v>57063.6</v>
      </c>
      <c r="E253">
        <f t="shared" si="23"/>
        <v>1339.2623879999999</v>
      </c>
      <c r="F253">
        <f t="shared" si="24"/>
        <v>101.73761200000013</v>
      </c>
      <c r="G253">
        <f t="shared" si="25"/>
        <v>10350.541695462569</v>
      </c>
      <c r="H253">
        <f t="shared" si="26"/>
        <v>554.83960000000002</v>
      </c>
      <c r="I253">
        <f t="shared" si="27"/>
        <v>307846.98172816</v>
      </c>
    </row>
    <row r="254" spans="1:9" x14ac:dyDescent="0.3">
      <c r="A254">
        <v>11.9</v>
      </c>
      <c r="B254">
        <v>700</v>
      </c>
      <c r="C254">
        <f t="shared" si="21"/>
        <v>141.61000000000001</v>
      </c>
      <c r="D254">
        <f t="shared" si="22"/>
        <v>8330</v>
      </c>
      <c r="E254">
        <f t="shared" si="23"/>
        <v>754.67383199999995</v>
      </c>
      <c r="F254">
        <f t="shared" si="24"/>
        <v>-54.673831999999948</v>
      </c>
      <c r="G254">
        <f t="shared" si="25"/>
        <v>2989.2279055642184</v>
      </c>
      <c r="H254">
        <f t="shared" si="26"/>
        <v>-186.16039999999998</v>
      </c>
      <c r="I254">
        <f t="shared" si="27"/>
        <v>34655.694528159991</v>
      </c>
    </row>
    <row r="255" spans="1:9" x14ac:dyDescent="0.3">
      <c r="A255">
        <v>5.7</v>
      </c>
      <c r="B255">
        <v>122</v>
      </c>
      <c r="C255">
        <f t="shared" si="21"/>
        <v>32.49</v>
      </c>
      <c r="D255">
        <f t="shared" si="22"/>
        <v>695.4</v>
      </c>
      <c r="E255">
        <f t="shared" si="23"/>
        <v>623.82729599999993</v>
      </c>
      <c r="F255">
        <f t="shared" si="24"/>
        <v>-501.82729599999993</v>
      </c>
      <c r="G255">
        <f t="shared" si="25"/>
        <v>251830.63501067154</v>
      </c>
      <c r="H255">
        <f t="shared" si="26"/>
        <v>-764.16039999999998</v>
      </c>
      <c r="I255">
        <f t="shared" si="27"/>
        <v>583941.11692815996</v>
      </c>
    </row>
    <row r="256" spans="1:9" x14ac:dyDescent="0.3">
      <c r="A256">
        <v>16.600000000000001</v>
      </c>
      <c r="B256">
        <v>1095</v>
      </c>
      <c r="C256">
        <f t="shared" si="21"/>
        <v>275.56000000000006</v>
      </c>
      <c r="D256">
        <f t="shared" si="22"/>
        <v>18177</v>
      </c>
      <c r="E256">
        <f t="shared" si="23"/>
        <v>853.86394799999994</v>
      </c>
      <c r="F256">
        <f t="shared" si="24"/>
        <v>241.13605200000006</v>
      </c>
      <c r="G256">
        <f t="shared" si="25"/>
        <v>58146.595574146733</v>
      </c>
      <c r="H256">
        <f t="shared" si="26"/>
        <v>208.83960000000002</v>
      </c>
      <c r="I256">
        <f t="shared" si="27"/>
        <v>43613.978528160005</v>
      </c>
    </row>
    <row r="257" spans="1:9" x14ac:dyDescent="0.3">
      <c r="A257">
        <v>18.399999999999999</v>
      </c>
      <c r="B257">
        <v>706</v>
      </c>
      <c r="C257">
        <f t="shared" si="21"/>
        <v>338.55999999999995</v>
      </c>
      <c r="D257">
        <f t="shared" si="22"/>
        <v>12990.4</v>
      </c>
      <c r="E257">
        <f t="shared" si="23"/>
        <v>891.85165199999994</v>
      </c>
      <c r="F257">
        <f t="shared" si="24"/>
        <v>-185.85165199999994</v>
      </c>
      <c r="G257">
        <f t="shared" si="25"/>
        <v>34540.836551129083</v>
      </c>
      <c r="H257">
        <f t="shared" si="26"/>
        <v>-180.16039999999998</v>
      </c>
      <c r="I257">
        <f t="shared" si="27"/>
        <v>32457.769728159994</v>
      </c>
    </row>
    <row r="258" spans="1:9" x14ac:dyDescent="0.3">
      <c r="A258">
        <v>25.7</v>
      </c>
      <c r="B258">
        <v>933</v>
      </c>
      <c r="C258">
        <f t="shared" si="21"/>
        <v>660.49</v>
      </c>
      <c r="D258">
        <f t="shared" si="22"/>
        <v>23978.1</v>
      </c>
      <c r="E258">
        <f t="shared" si="23"/>
        <v>1045.912896</v>
      </c>
      <c r="F258">
        <f t="shared" si="24"/>
        <v>-112.91289600000005</v>
      </c>
      <c r="G258">
        <f t="shared" si="25"/>
        <v>12749.322083106827</v>
      </c>
      <c r="H258">
        <f t="shared" si="26"/>
        <v>46.839600000000019</v>
      </c>
      <c r="I258">
        <f t="shared" si="27"/>
        <v>2193.9481281600019</v>
      </c>
    </row>
    <row r="259" spans="1:9" x14ac:dyDescent="0.3">
      <c r="A259">
        <v>23.1</v>
      </c>
      <c r="B259">
        <v>1446</v>
      </c>
      <c r="C259">
        <f t="shared" ref="C259:C322" si="28">PRODUCT(A259,A259)</f>
        <v>533.61</v>
      </c>
      <c r="D259">
        <f t="shared" ref="D259:D322" si="29">PRODUCT(A259,B259)</f>
        <v>33402.6</v>
      </c>
      <c r="E259">
        <f t="shared" ref="E259:E322" si="30">503.5329+PRODUCT(21.10428,A259)</f>
        <v>991.04176800000005</v>
      </c>
      <c r="F259">
        <f t="shared" ref="F259:F322" si="31">B259-E259</f>
        <v>454.95823199999995</v>
      </c>
      <c r="G259">
        <f t="shared" ref="G259:G322" si="32">PRODUCT(F259,F259)</f>
        <v>206986.99286456578</v>
      </c>
      <c r="H259">
        <f t="shared" ref="H259:H322" si="33">B259-886.1604</f>
        <v>559.83960000000002</v>
      </c>
      <c r="I259">
        <f t="shared" ref="I259:I322" si="34">PRODUCT(H259,H259)</f>
        <v>313420.37772816001</v>
      </c>
    </row>
    <row r="260" spans="1:9" x14ac:dyDescent="0.3">
      <c r="A260">
        <v>19.8</v>
      </c>
      <c r="B260">
        <v>991</v>
      </c>
      <c r="C260">
        <f t="shared" si="28"/>
        <v>392.04</v>
      </c>
      <c r="D260">
        <f t="shared" si="29"/>
        <v>19621.8</v>
      </c>
      <c r="E260">
        <f t="shared" si="30"/>
        <v>921.3976439999999</v>
      </c>
      <c r="F260">
        <f t="shared" si="31"/>
        <v>69.6023560000001</v>
      </c>
      <c r="G260">
        <f t="shared" si="32"/>
        <v>4844.4879607507501</v>
      </c>
      <c r="H260">
        <f t="shared" si="33"/>
        <v>104.83960000000002</v>
      </c>
      <c r="I260">
        <f t="shared" si="34"/>
        <v>10991.341728160003</v>
      </c>
    </row>
    <row r="261" spans="1:9" x14ac:dyDescent="0.3">
      <c r="A261">
        <v>18.2</v>
      </c>
      <c r="B261">
        <v>983</v>
      </c>
      <c r="C261">
        <f t="shared" si="28"/>
        <v>331.23999999999995</v>
      </c>
      <c r="D261">
        <f t="shared" si="29"/>
        <v>17890.599999999999</v>
      </c>
      <c r="E261">
        <f t="shared" si="30"/>
        <v>887.63079599999992</v>
      </c>
      <c r="F261">
        <f t="shared" si="31"/>
        <v>95.369204000000082</v>
      </c>
      <c r="G261">
        <f t="shared" si="32"/>
        <v>9095.2850715936311</v>
      </c>
      <c r="H261">
        <f t="shared" si="33"/>
        <v>96.839600000000019</v>
      </c>
      <c r="I261">
        <f t="shared" si="34"/>
        <v>9377.9081281600029</v>
      </c>
    </row>
    <row r="262" spans="1:9" x14ac:dyDescent="0.3">
      <c r="A262">
        <v>35.799999999999997</v>
      </c>
      <c r="B262">
        <v>1003</v>
      </c>
      <c r="C262">
        <f t="shared" si="28"/>
        <v>1281.6399999999999</v>
      </c>
      <c r="D262">
        <f t="shared" si="29"/>
        <v>35907.399999999994</v>
      </c>
      <c r="E262">
        <f t="shared" si="30"/>
        <v>1259.0661239999999</v>
      </c>
      <c r="F262">
        <f t="shared" si="31"/>
        <v>-256.06612399999995</v>
      </c>
      <c r="G262">
        <f t="shared" si="32"/>
        <v>65569.859860383352</v>
      </c>
      <c r="H262">
        <f t="shared" si="33"/>
        <v>116.83960000000002</v>
      </c>
      <c r="I262">
        <f t="shared" si="34"/>
        <v>13651.492128160004</v>
      </c>
    </row>
    <row r="263" spans="1:9" x14ac:dyDescent="0.3">
      <c r="A263">
        <v>14.2</v>
      </c>
      <c r="B263">
        <v>806</v>
      </c>
      <c r="C263">
        <f t="shared" si="28"/>
        <v>201.64</v>
      </c>
      <c r="D263">
        <f t="shared" si="29"/>
        <v>11445.199999999999</v>
      </c>
      <c r="E263">
        <f t="shared" si="30"/>
        <v>803.21367599999996</v>
      </c>
      <c r="F263">
        <f t="shared" si="31"/>
        <v>2.786324000000036</v>
      </c>
      <c r="G263">
        <f t="shared" si="32"/>
        <v>7.7636014329762002</v>
      </c>
      <c r="H263">
        <f t="shared" si="33"/>
        <v>-80.160399999999981</v>
      </c>
      <c r="I263">
        <f t="shared" si="34"/>
        <v>6425.6897281599968</v>
      </c>
    </row>
    <row r="264" spans="1:9" x14ac:dyDescent="0.3">
      <c r="A264">
        <v>24.5</v>
      </c>
      <c r="B264">
        <v>922</v>
      </c>
      <c r="C264">
        <f t="shared" si="28"/>
        <v>600.25</v>
      </c>
      <c r="D264">
        <f t="shared" si="29"/>
        <v>22589</v>
      </c>
      <c r="E264">
        <f t="shared" si="30"/>
        <v>1020.5877599999999</v>
      </c>
      <c r="F264">
        <f t="shared" si="31"/>
        <v>-98.587759999999889</v>
      </c>
      <c r="G264">
        <f t="shared" si="32"/>
        <v>9719.5464218175784</v>
      </c>
      <c r="H264">
        <f t="shared" si="33"/>
        <v>35.839600000000019</v>
      </c>
      <c r="I264">
        <f t="shared" si="34"/>
        <v>1284.4769281600013</v>
      </c>
    </row>
    <row r="265" spans="1:9" x14ac:dyDescent="0.3">
      <c r="A265">
        <v>13.7</v>
      </c>
      <c r="B265">
        <v>1077</v>
      </c>
      <c r="C265">
        <f t="shared" si="28"/>
        <v>187.68999999999997</v>
      </c>
      <c r="D265">
        <f t="shared" si="29"/>
        <v>14754.9</v>
      </c>
      <c r="E265">
        <f t="shared" si="30"/>
        <v>792.66153599999996</v>
      </c>
      <c r="F265">
        <f t="shared" si="31"/>
        <v>284.33846400000004</v>
      </c>
      <c r="G265">
        <f t="shared" si="32"/>
        <v>80848.362109879323</v>
      </c>
      <c r="H265">
        <f t="shared" si="33"/>
        <v>190.83960000000002</v>
      </c>
      <c r="I265">
        <f t="shared" si="34"/>
        <v>36419.752928160007</v>
      </c>
    </row>
    <row r="266" spans="1:9" x14ac:dyDescent="0.3">
      <c r="A266">
        <v>10.8</v>
      </c>
      <c r="B266">
        <v>906</v>
      </c>
      <c r="C266">
        <f t="shared" si="28"/>
        <v>116.64000000000001</v>
      </c>
      <c r="D266">
        <f t="shared" si="29"/>
        <v>9784.8000000000011</v>
      </c>
      <c r="E266">
        <f t="shared" si="30"/>
        <v>731.45912399999997</v>
      </c>
      <c r="F266">
        <f t="shared" si="31"/>
        <v>174.54087600000003</v>
      </c>
      <c r="G266">
        <f t="shared" si="32"/>
        <v>30464.517394847386</v>
      </c>
      <c r="H266">
        <f t="shared" si="33"/>
        <v>19.839600000000019</v>
      </c>
      <c r="I266">
        <f t="shared" si="34"/>
        <v>393.60972816000071</v>
      </c>
    </row>
    <row r="267" spans="1:9" x14ac:dyDescent="0.3">
      <c r="A267">
        <v>24.4</v>
      </c>
      <c r="B267">
        <v>989</v>
      </c>
      <c r="C267">
        <f t="shared" si="28"/>
        <v>595.3599999999999</v>
      </c>
      <c r="D267">
        <f t="shared" si="29"/>
        <v>24131.599999999999</v>
      </c>
      <c r="E267">
        <f t="shared" si="30"/>
        <v>1018.4773319999999</v>
      </c>
      <c r="F267">
        <f t="shared" si="31"/>
        <v>-29.477331999999933</v>
      </c>
      <c r="G267">
        <f t="shared" si="32"/>
        <v>868.91310183822009</v>
      </c>
      <c r="H267">
        <f t="shared" si="33"/>
        <v>102.83960000000002</v>
      </c>
      <c r="I267">
        <f t="shared" si="34"/>
        <v>10575.983328160004</v>
      </c>
    </row>
    <row r="268" spans="1:9" x14ac:dyDescent="0.3">
      <c r="A268">
        <v>12.8</v>
      </c>
      <c r="B268">
        <v>767</v>
      </c>
      <c r="C268">
        <f t="shared" si="28"/>
        <v>163.84000000000003</v>
      </c>
      <c r="D268">
        <f t="shared" si="29"/>
        <v>9817.6</v>
      </c>
      <c r="E268">
        <f t="shared" si="30"/>
        <v>773.66768400000001</v>
      </c>
      <c r="F268">
        <f t="shared" si="31"/>
        <v>-6.6676840000000084</v>
      </c>
      <c r="G268">
        <f t="shared" si="32"/>
        <v>44.45800992385611</v>
      </c>
      <c r="H268">
        <f t="shared" si="33"/>
        <v>-119.16039999999998</v>
      </c>
      <c r="I268">
        <f t="shared" si="34"/>
        <v>14199.200928159995</v>
      </c>
    </row>
    <row r="269" spans="1:9" x14ac:dyDescent="0.3">
      <c r="A269">
        <v>14</v>
      </c>
      <c r="B269">
        <v>779</v>
      </c>
      <c r="C269">
        <f t="shared" si="28"/>
        <v>196</v>
      </c>
      <c r="D269">
        <f t="shared" si="29"/>
        <v>10906</v>
      </c>
      <c r="E269">
        <f t="shared" si="30"/>
        <v>798.99281999999994</v>
      </c>
      <c r="F269">
        <f t="shared" si="31"/>
        <v>-19.992819999999938</v>
      </c>
      <c r="G269">
        <f t="shared" si="32"/>
        <v>399.71285155239752</v>
      </c>
      <c r="H269">
        <f t="shared" si="33"/>
        <v>-107.16039999999998</v>
      </c>
      <c r="I269">
        <f t="shared" si="34"/>
        <v>11483.351328159995</v>
      </c>
    </row>
    <row r="270" spans="1:9" x14ac:dyDescent="0.3">
      <c r="A270">
        <v>19.3</v>
      </c>
      <c r="B270">
        <v>739</v>
      </c>
      <c r="C270">
        <f t="shared" si="28"/>
        <v>372.49</v>
      </c>
      <c r="D270">
        <f t="shared" si="29"/>
        <v>14262.7</v>
      </c>
      <c r="E270">
        <f t="shared" si="30"/>
        <v>910.84550400000001</v>
      </c>
      <c r="F270">
        <f t="shared" si="31"/>
        <v>-171.84550400000001</v>
      </c>
      <c r="G270">
        <f t="shared" si="32"/>
        <v>29530.877245014017</v>
      </c>
      <c r="H270">
        <f t="shared" si="33"/>
        <v>-147.16039999999998</v>
      </c>
      <c r="I270">
        <f t="shared" si="34"/>
        <v>21656.183328159994</v>
      </c>
    </row>
    <row r="271" spans="1:9" x14ac:dyDescent="0.3">
      <c r="A271">
        <v>17.2</v>
      </c>
      <c r="B271">
        <v>687</v>
      </c>
      <c r="C271">
        <f t="shared" si="28"/>
        <v>295.83999999999997</v>
      </c>
      <c r="D271">
        <f t="shared" si="29"/>
        <v>11816.4</v>
      </c>
      <c r="E271">
        <f t="shared" si="30"/>
        <v>866.5265159999999</v>
      </c>
      <c r="F271">
        <f t="shared" si="31"/>
        <v>-179.5265159999999</v>
      </c>
      <c r="G271">
        <f t="shared" si="32"/>
        <v>32229.769947098219</v>
      </c>
      <c r="H271">
        <f t="shared" si="33"/>
        <v>-199.16039999999998</v>
      </c>
      <c r="I271">
        <f t="shared" si="34"/>
        <v>39664.864928159994</v>
      </c>
    </row>
    <row r="272" spans="1:9" x14ac:dyDescent="0.3">
      <c r="A272">
        <v>27.1</v>
      </c>
      <c r="B272">
        <v>1338</v>
      </c>
      <c r="C272">
        <f t="shared" si="28"/>
        <v>734.41000000000008</v>
      </c>
      <c r="D272">
        <f t="shared" si="29"/>
        <v>36259.800000000003</v>
      </c>
      <c r="E272">
        <f t="shared" si="30"/>
        <v>1075.4588879999999</v>
      </c>
      <c r="F272">
        <f t="shared" si="31"/>
        <v>262.54111200000011</v>
      </c>
      <c r="G272">
        <f t="shared" si="32"/>
        <v>68927.835490196609</v>
      </c>
      <c r="H272">
        <f t="shared" si="33"/>
        <v>451.83960000000002</v>
      </c>
      <c r="I272">
        <f t="shared" si="34"/>
        <v>204159.02412816</v>
      </c>
    </row>
    <row r="273" spans="1:9" x14ac:dyDescent="0.3">
      <c r="A273">
        <v>10.6</v>
      </c>
      <c r="B273">
        <v>476</v>
      </c>
      <c r="C273">
        <f t="shared" si="28"/>
        <v>112.36</v>
      </c>
      <c r="D273">
        <f t="shared" si="29"/>
        <v>5045.5999999999995</v>
      </c>
      <c r="E273">
        <f t="shared" si="30"/>
        <v>727.23826799999995</v>
      </c>
      <c r="F273">
        <f t="shared" si="31"/>
        <v>-251.23826799999995</v>
      </c>
      <c r="G273">
        <f t="shared" si="32"/>
        <v>63120.6673076398</v>
      </c>
      <c r="H273">
        <f t="shared" si="33"/>
        <v>-410.16039999999998</v>
      </c>
      <c r="I273">
        <f t="shared" si="34"/>
        <v>168231.55372815998</v>
      </c>
    </row>
    <row r="274" spans="1:9" x14ac:dyDescent="0.3">
      <c r="A274">
        <v>11.7</v>
      </c>
      <c r="B274">
        <v>490</v>
      </c>
      <c r="C274">
        <f t="shared" si="28"/>
        <v>136.88999999999999</v>
      </c>
      <c r="D274">
        <f t="shared" si="29"/>
        <v>5733</v>
      </c>
      <c r="E274">
        <f t="shared" si="30"/>
        <v>750.45297599999992</v>
      </c>
      <c r="F274">
        <f t="shared" si="31"/>
        <v>-260.45297599999992</v>
      </c>
      <c r="G274">
        <f t="shared" si="32"/>
        <v>67835.752707256528</v>
      </c>
      <c r="H274">
        <f t="shared" si="33"/>
        <v>-396.16039999999998</v>
      </c>
      <c r="I274">
        <f t="shared" si="34"/>
        <v>156943.06252815999</v>
      </c>
    </row>
    <row r="275" spans="1:9" x14ac:dyDescent="0.3">
      <c r="A275">
        <v>19.2</v>
      </c>
      <c r="B275">
        <v>651</v>
      </c>
      <c r="C275">
        <f t="shared" si="28"/>
        <v>368.64</v>
      </c>
      <c r="D275">
        <f t="shared" si="29"/>
        <v>12499.199999999999</v>
      </c>
      <c r="E275">
        <f t="shared" si="30"/>
        <v>908.73507599999994</v>
      </c>
      <c r="F275">
        <f t="shared" si="31"/>
        <v>-257.73507599999994</v>
      </c>
      <c r="G275">
        <f t="shared" si="32"/>
        <v>66427.369400725744</v>
      </c>
      <c r="H275">
        <f t="shared" si="33"/>
        <v>-235.16039999999998</v>
      </c>
      <c r="I275">
        <f t="shared" si="34"/>
        <v>55300.413728159991</v>
      </c>
    </row>
    <row r="276" spans="1:9" x14ac:dyDescent="0.3">
      <c r="A276">
        <v>36.299999999999997</v>
      </c>
      <c r="B276">
        <v>1216</v>
      </c>
      <c r="C276">
        <f t="shared" si="28"/>
        <v>1317.6899999999998</v>
      </c>
      <c r="D276">
        <f t="shared" si="29"/>
        <v>44140.799999999996</v>
      </c>
      <c r="E276">
        <f t="shared" si="30"/>
        <v>1269.618264</v>
      </c>
      <c r="F276">
        <f t="shared" si="31"/>
        <v>-53.618263999999954</v>
      </c>
      <c r="G276">
        <f t="shared" si="32"/>
        <v>2874.9182343736911</v>
      </c>
      <c r="H276">
        <f t="shared" si="33"/>
        <v>329.83960000000002</v>
      </c>
      <c r="I276">
        <f t="shared" si="34"/>
        <v>108794.16172816002</v>
      </c>
    </row>
    <row r="277" spans="1:9" x14ac:dyDescent="0.3">
      <c r="A277">
        <v>24.1</v>
      </c>
      <c r="B277">
        <v>1413</v>
      </c>
      <c r="C277">
        <f t="shared" si="28"/>
        <v>580.81000000000006</v>
      </c>
      <c r="D277">
        <f t="shared" si="29"/>
        <v>34053.300000000003</v>
      </c>
      <c r="E277">
        <f t="shared" si="30"/>
        <v>1012.1460480000001</v>
      </c>
      <c r="F277">
        <f t="shared" si="31"/>
        <v>400.85395199999994</v>
      </c>
      <c r="G277">
        <f t="shared" si="32"/>
        <v>160683.89083401824</v>
      </c>
      <c r="H277">
        <f t="shared" si="33"/>
        <v>526.83960000000002</v>
      </c>
      <c r="I277">
        <f t="shared" si="34"/>
        <v>277559.96412816003</v>
      </c>
    </row>
    <row r="278" spans="1:9" x14ac:dyDescent="0.3">
      <c r="A278">
        <v>11.5</v>
      </c>
      <c r="B278">
        <v>610</v>
      </c>
      <c r="C278">
        <f t="shared" si="28"/>
        <v>132.25</v>
      </c>
      <c r="D278">
        <f t="shared" si="29"/>
        <v>7015</v>
      </c>
      <c r="E278">
        <f t="shared" si="30"/>
        <v>746.23212000000001</v>
      </c>
      <c r="F278">
        <f t="shared" si="31"/>
        <v>-136.23212000000001</v>
      </c>
      <c r="G278">
        <f t="shared" si="32"/>
        <v>18559.190519694403</v>
      </c>
      <c r="H278">
        <f t="shared" si="33"/>
        <v>-276.16039999999998</v>
      </c>
      <c r="I278">
        <f t="shared" si="34"/>
        <v>76264.566528159994</v>
      </c>
    </row>
    <row r="279" spans="1:9" x14ac:dyDescent="0.3">
      <c r="A279">
        <v>15.2</v>
      </c>
      <c r="B279">
        <v>811</v>
      </c>
      <c r="C279">
        <f t="shared" si="28"/>
        <v>231.04</v>
      </c>
      <c r="D279">
        <f t="shared" si="29"/>
        <v>12327.199999999999</v>
      </c>
      <c r="E279">
        <f t="shared" si="30"/>
        <v>824.31795599999998</v>
      </c>
      <c r="F279">
        <f t="shared" si="31"/>
        <v>-13.317955999999981</v>
      </c>
      <c r="G279">
        <f t="shared" si="32"/>
        <v>177.36795201793549</v>
      </c>
      <c r="H279">
        <f t="shared" si="33"/>
        <v>-75.160399999999981</v>
      </c>
      <c r="I279">
        <f t="shared" si="34"/>
        <v>5649.0857281599974</v>
      </c>
    </row>
    <row r="280" spans="1:9" x14ac:dyDescent="0.3">
      <c r="A280">
        <v>20</v>
      </c>
      <c r="B280">
        <v>701</v>
      </c>
      <c r="C280">
        <f t="shared" si="28"/>
        <v>400</v>
      </c>
      <c r="D280">
        <f t="shared" si="29"/>
        <v>14020</v>
      </c>
      <c r="E280">
        <f t="shared" si="30"/>
        <v>925.61850000000004</v>
      </c>
      <c r="F280">
        <f t="shared" si="31"/>
        <v>-224.61850000000004</v>
      </c>
      <c r="G280">
        <f t="shared" si="32"/>
        <v>50453.470542250019</v>
      </c>
      <c r="H280">
        <f t="shared" si="33"/>
        <v>-185.16039999999998</v>
      </c>
      <c r="I280">
        <f t="shared" si="34"/>
        <v>34284.37372815999</v>
      </c>
    </row>
    <row r="281" spans="1:9" x14ac:dyDescent="0.3">
      <c r="A281">
        <v>15.3</v>
      </c>
      <c r="B281">
        <v>352</v>
      </c>
      <c r="C281">
        <f t="shared" si="28"/>
        <v>234.09000000000003</v>
      </c>
      <c r="D281">
        <f t="shared" si="29"/>
        <v>5385.6</v>
      </c>
      <c r="E281">
        <f t="shared" si="30"/>
        <v>826.42838400000005</v>
      </c>
      <c r="F281">
        <f t="shared" si="31"/>
        <v>-474.42838400000005</v>
      </c>
      <c r="G281">
        <f t="shared" si="32"/>
        <v>225082.2915448515</v>
      </c>
      <c r="H281">
        <f t="shared" si="33"/>
        <v>-534.16039999999998</v>
      </c>
      <c r="I281">
        <f t="shared" si="34"/>
        <v>285327.33292815997</v>
      </c>
    </row>
    <row r="282" spans="1:9" x14ac:dyDescent="0.3">
      <c r="A282">
        <v>34</v>
      </c>
      <c r="B282">
        <v>527</v>
      </c>
      <c r="C282">
        <f t="shared" si="28"/>
        <v>1156</v>
      </c>
      <c r="D282">
        <f t="shared" si="29"/>
        <v>17918</v>
      </c>
      <c r="E282">
        <f t="shared" si="30"/>
        <v>1221.0784200000001</v>
      </c>
      <c r="F282">
        <f t="shared" si="31"/>
        <v>-694.07842000000005</v>
      </c>
      <c r="G282">
        <f t="shared" si="32"/>
        <v>481744.85310969647</v>
      </c>
      <c r="H282">
        <f t="shared" si="33"/>
        <v>-359.16039999999998</v>
      </c>
      <c r="I282">
        <f t="shared" si="34"/>
        <v>128996.19292815999</v>
      </c>
    </row>
    <row r="283" spans="1:9" x14ac:dyDescent="0.3">
      <c r="A283">
        <v>16.2</v>
      </c>
      <c r="B283">
        <v>955</v>
      </c>
      <c r="C283">
        <f t="shared" si="28"/>
        <v>262.44</v>
      </c>
      <c r="D283">
        <f t="shared" si="29"/>
        <v>15471</v>
      </c>
      <c r="E283">
        <f t="shared" si="30"/>
        <v>845.42223599999988</v>
      </c>
      <c r="F283">
        <f t="shared" si="31"/>
        <v>109.57776400000012</v>
      </c>
      <c r="G283">
        <f t="shared" si="32"/>
        <v>12007.286363239722</v>
      </c>
      <c r="H283">
        <f t="shared" si="33"/>
        <v>68.839600000000019</v>
      </c>
      <c r="I283">
        <f t="shared" si="34"/>
        <v>4738.8905281600028</v>
      </c>
    </row>
    <row r="284" spans="1:9" x14ac:dyDescent="0.3">
      <c r="A284">
        <v>21.5</v>
      </c>
      <c r="B284">
        <v>947</v>
      </c>
      <c r="C284">
        <f t="shared" si="28"/>
        <v>462.25</v>
      </c>
      <c r="D284">
        <f t="shared" si="29"/>
        <v>20360.5</v>
      </c>
      <c r="E284">
        <f t="shared" si="30"/>
        <v>957.27491999999995</v>
      </c>
      <c r="F284">
        <f t="shared" si="31"/>
        <v>-10.274919999999952</v>
      </c>
      <c r="G284">
        <f t="shared" si="32"/>
        <v>105.57398100639901</v>
      </c>
      <c r="H284">
        <f t="shared" si="33"/>
        <v>60.839600000000019</v>
      </c>
      <c r="I284">
        <f t="shared" si="34"/>
        <v>3701.4569281600025</v>
      </c>
    </row>
    <row r="285" spans="1:9" x14ac:dyDescent="0.3">
      <c r="A285">
        <v>15.3</v>
      </c>
      <c r="B285">
        <v>624</v>
      </c>
      <c r="C285">
        <f t="shared" si="28"/>
        <v>234.09000000000003</v>
      </c>
      <c r="D285">
        <f t="shared" si="29"/>
        <v>9547.2000000000007</v>
      </c>
      <c r="E285">
        <f t="shared" si="30"/>
        <v>826.42838400000005</v>
      </c>
      <c r="F285">
        <f t="shared" si="31"/>
        <v>-202.42838400000005</v>
      </c>
      <c r="G285">
        <f t="shared" si="32"/>
        <v>40977.250648851477</v>
      </c>
      <c r="H285">
        <f t="shared" si="33"/>
        <v>-262.16039999999998</v>
      </c>
      <c r="I285">
        <f t="shared" si="34"/>
        <v>68728.07532815999</v>
      </c>
    </row>
    <row r="286" spans="1:9" x14ac:dyDescent="0.3">
      <c r="A286">
        <v>8.1999999999999993</v>
      </c>
      <c r="B286">
        <v>628</v>
      </c>
      <c r="C286">
        <f t="shared" si="28"/>
        <v>67.239999999999995</v>
      </c>
      <c r="D286">
        <f t="shared" si="29"/>
        <v>5149.5999999999995</v>
      </c>
      <c r="E286">
        <f t="shared" si="30"/>
        <v>676.58799599999998</v>
      </c>
      <c r="F286">
        <f t="shared" si="31"/>
        <v>-48.587995999999976</v>
      </c>
      <c r="G286">
        <f t="shared" si="32"/>
        <v>2360.7933552960135</v>
      </c>
      <c r="H286">
        <f t="shared" si="33"/>
        <v>-258.16039999999998</v>
      </c>
      <c r="I286">
        <f t="shared" si="34"/>
        <v>66646.792128159985</v>
      </c>
    </row>
    <row r="287" spans="1:9" x14ac:dyDescent="0.3">
      <c r="A287">
        <v>10.7</v>
      </c>
      <c r="B287">
        <v>1001</v>
      </c>
      <c r="C287">
        <f t="shared" si="28"/>
        <v>114.48999999999998</v>
      </c>
      <c r="D287">
        <f t="shared" si="29"/>
        <v>10710.699999999999</v>
      </c>
      <c r="E287">
        <f t="shared" si="30"/>
        <v>729.34869600000002</v>
      </c>
      <c r="F287">
        <f t="shared" si="31"/>
        <v>271.65130399999998</v>
      </c>
      <c r="G287">
        <f t="shared" si="32"/>
        <v>73794.430964900399</v>
      </c>
      <c r="H287">
        <f t="shared" si="33"/>
        <v>114.83960000000002</v>
      </c>
      <c r="I287">
        <f t="shared" si="34"/>
        <v>13188.133728160004</v>
      </c>
    </row>
    <row r="288" spans="1:9" x14ac:dyDescent="0.3">
      <c r="A288">
        <v>7.3</v>
      </c>
      <c r="B288">
        <v>642</v>
      </c>
      <c r="C288">
        <f t="shared" si="28"/>
        <v>53.29</v>
      </c>
      <c r="D288">
        <f t="shared" si="29"/>
        <v>4686.5999999999995</v>
      </c>
      <c r="E288">
        <f t="shared" si="30"/>
        <v>657.59414399999991</v>
      </c>
      <c r="F288">
        <f t="shared" si="31"/>
        <v>-15.594143999999915</v>
      </c>
      <c r="G288">
        <f t="shared" si="32"/>
        <v>243.17732709273335</v>
      </c>
      <c r="H288">
        <f t="shared" si="33"/>
        <v>-244.16039999999998</v>
      </c>
      <c r="I288">
        <f t="shared" si="34"/>
        <v>59614.300928159988</v>
      </c>
    </row>
    <row r="289" spans="1:9" x14ac:dyDescent="0.3">
      <c r="A289">
        <v>19.399999999999999</v>
      </c>
      <c r="B289">
        <v>851</v>
      </c>
      <c r="C289">
        <f t="shared" si="28"/>
        <v>376.35999999999996</v>
      </c>
      <c r="D289">
        <f t="shared" si="29"/>
        <v>16509.399999999998</v>
      </c>
      <c r="E289">
        <f t="shared" si="30"/>
        <v>912.95593199999996</v>
      </c>
      <c r="F289">
        <f t="shared" si="31"/>
        <v>-61.955931999999962</v>
      </c>
      <c r="G289">
        <f t="shared" si="32"/>
        <v>3838.5375099886191</v>
      </c>
      <c r="H289">
        <f t="shared" si="33"/>
        <v>-35.160399999999981</v>
      </c>
      <c r="I289">
        <f t="shared" si="34"/>
        <v>1236.2537281599987</v>
      </c>
    </row>
    <row r="290" spans="1:9" x14ac:dyDescent="0.3">
      <c r="A290">
        <v>28.1</v>
      </c>
      <c r="B290">
        <v>1152</v>
      </c>
      <c r="C290">
        <f t="shared" si="28"/>
        <v>789.61000000000013</v>
      </c>
      <c r="D290">
        <f t="shared" si="29"/>
        <v>32371.200000000001</v>
      </c>
      <c r="E290">
        <f t="shared" si="30"/>
        <v>1096.5631679999999</v>
      </c>
      <c r="F290">
        <f t="shared" si="31"/>
        <v>55.436832000000095</v>
      </c>
      <c r="G290">
        <f t="shared" si="32"/>
        <v>3073.2423421962344</v>
      </c>
      <c r="H290">
        <f t="shared" si="33"/>
        <v>265.83960000000002</v>
      </c>
      <c r="I290">
        <f t="shared" si="34"/>
        <v>70670.692928160017</v>
      </c>
    </row>
    <row r="291" spans="1:9" x14ac:dyDescent="0.3">
      <c r="A291">
        <v>7.1</v>
      </c>
      <c r="B291">
        <v>451</v>
      </c>
      <c r="C291">
        <f t="shared" si="28"/>
        <v>50.41</v>
      </c>
      <c r="D291">
        <f t="shared" si="29"/>
        <v>3202.1</v>
      </c>
      <c r="E291">
        <f t="shared" si="30"/>
        <v>653.373288</v>
      </c>
      <c r="F291">
        <f t="shared" si="31"/>
        <v>-202.373288</v>
      </c>
      <c r="G291">
        <f t="shared" si="32"/>
        <v>40954.947695930947</v>
      </c>
      <c r="H291">
        <f t="shared" si="33"/>
        <v>-435.16039999999998</v>
      </c>
      <c r="I291">
        <f t="shared" si="34"/>
        <v>189364.57372815997</v>
      </c>
    </row>
    <row r="292" spans="1:9" x14ac:dyDescent="0.3">
      <c r="A292">
        <v>15.5</v>
      </c>
      <c r="B292">
        <v>892</v>
      </c>
      <c r="C292">
        <f t="shared" si="28"/>
        <v>240.25</v>
      </c>
      <c r="D292">
        <f t="shared" si="29"/>
        <v>13826</v>
      </c>
      <c r="E292">
        <f t="shared" si="30"/>
        <v>830.64923999999996</v>
      </c>
      <c r="F292">
        <f t="shared" si="31"/>
        <v>61.350760000000037</v>
      </c>
      <c r="G292">
        <f t="shared" si="32"/>
        <v>3763.9157525776045</v>
      </c>
      <c r="H292">
        <f t="shared" si="33"/>
        <v>5.8396000000000186</v>
      </c>
      <c r="I292">
        <f t="shared" si="34"/>
        <v>34.100928160000215</v>
      </c>
    </row>
    <row r="293" spans="1:9" x14ac:dyDescent="0.3">
      <c r="A293">
        <v>10.5</v>
      </c>
      <c r="B293">
        <v>738</v>
      </c>
      <c r="C293">
        <f t="shared" si="28"/>
        <v>110.25</v>
      </c>
      <c r="D293">
        <f t="shared" si="29"/>
        <v>7749</v>
      </c>
      <c r="E293">
        <f t="shared" si="30"/>
        <v>725.12783999999999</v>
      </c>
      <c r="F293">
        <f t="shared" si="31"/>
        <v>12.872160000000008</v>
      </c>
      <c r="G293">
        <f t="shared" si="32"/>
        <v>165.69250306560022</v>
      </c>
      <c r="H293">
        <f t="shared" si="33"/>
        <v>-148.16039999999998</v>
      </c>
      <c r="I293">
        <f t="shared" si="34"/>
        <v>21951.504128159995</v>
      </c>
    </row>
    <row r="294" spans="1:9" x14ac:dyDescent="0.3">
      <c r="A294">
        <v>43.2</v>
      </c>
      <c r="B294">
        <v>1039</v>
      </c>
      <c r="C294">
        <f t="shared" si="28"/>
        <v>1866.2400000000002</v>
      </c>
      <c r="D294">
        <f t="shared" si="29"/>
        <v>44884.800000000003</v>
      </c>
      <c r="E294">
        <f t="shared" si="30"/>
        <v>1415.2377960000001</v>
      </c>
      <c r="F294">
        <f t="shared" si="31"/>
        <v>-376.23779600000012</v>
      </c>
      <c r="G294">
        <f t="shared" si="32"/>
        <v>141554.87913893771</v>
      </c>
      <c r="H294">
        <f t="shared" si="33"/>
        <v>152.83960000000002</v>
      </c>
      <c r="I294">
        <f t="shared" si="34"/>
        <v>23359.943328160007</v>
      </c>
    </row>
    <row r="295" spans="1:9" x14ac:dyDescent="0.3">
      <c r="A295">
        <v>25.4</v>
      </c>
      <c r="B295">
        <v>1105</v>
      </c>
      <c r="C295">
        <f t="shared" si="28"/>
        <v>645.16</v>
      </c>
      <c r="D295">
        <f t="shared" si="29"/>
        <v>28067</v>
      </c>
      <c r="E295">
        <f t="shared" si="30"/>
        <v>1039.581612</v>
      </c>
      <c r="F295">
        <f t="shared" si="31"/>
        <v>65.41838800000005</v>
      </c>
      <c r="G295">
        <f t="shared" si="32"/>
        <v>4279.5654885185504</v>
      </c>
      <c r="H295">
        <f t="shared" si="33"/>
        <v>218.83960000000002</v>
      </c>
      <c r="I295">
        <f t="shared" si="34"/>
        <v>47890.770528160007</v>
      </c>
    </row>
    <row r="296" spans="1:9" x14ac:dyDescent="0.3">
      <c r="A296">
        <v>23.6</v>
      </c>
      <c r="B296">
        <v>1286</v>
      </c>
      <c r="C296">
        <f t="shared" si="28"/>
        <v>556.96</v>
      </c>
      <c r="D296">
        <f t="shared" si="29"/>
        <v>30349.600000000002</v>
      </c>
      <c r="E296">
        <f t="shared" si="30"/>
        <v>1001.5939080000001</v>
      </c>
      <c r="F296">
        <f t="shared" si="31"/>
        <v>284.40609199999994</v>
      </c>
      <c r="G296">
        <f t="shared" si="32"/>
        <v>80886.825166712428</v>
      </c>
      <c r="H296">
        <f t="shared" si="33"/>
        <v>399.83960000000002</v>
      </c>
      <c r="I296">
        <f t="shared" si="34"/>
        <v>159871.70572816001</v>
      </c>
    </row>
    <row r="297" spans="1:9" x14ac:dyDescent="0.3">
      <c r="A297">
        <v>18.7</v>
      </c>
      <c r="B297">
        <v>854</v>
      </c>
      <c r="C297">
        <f t="shared" si="28"/>
        <v>349.69</v>
      </c>
      <c r="D297">
        <f t="shared" si="29"/>
        <v>15969.8</v>
      </c>
      <c r="E297">
        <f t="shared" si="30"/>
        <v>898.18293599999993</v>
      </c>
      <c r="F297">
        <f t="shared" si="31"/>
        <v>-44.182935999999927</v>
      </c>
      <c r="G297">
        <f t="shared" si="32"/>
        <v>1952.1318335800895</v>
      </c>
      <c r="H297">
        <f t="shared" si="33"/>
        <v>-32.160399999999981</v>
      </c>
      <c r="I297">
        <f t="shared" si="34"/>
        <v>1034.2913281599988</v>
      </c>
    </row>
    <row r="298" spans="1:9" x14ac:dyDescent="0.3">
      <c r="A298">
        <v>29.9</v>
      </c>
      <c r="B298">
        <v>1017</v>
      </c>
      <c r="C298">
        <f t="shared" si="28"/>
        <v>894.00999999999988</v>
      </c>
      <c r="D298">
        <f t="shared" si="29"/>
        <v>30408.3</v>
      </c>
      <c r="E298">
        <f t="shared" si="30"/>
        <v>1134.550872</v>
      </c>
      <c r="F298">
        <f t="shared" si="31"/>
        <v>-117.55087200000003</v>
      </c>
      <c r="G298">
        <f t="shared" si="32"/>
        <v>13818.207507960391</v>
      </c>
      <c r="H298">
        <f t="shared" si="33"/>
        <v>130.83960000000002</v>
      </c>
      <c r="I298">
        <f t="shared" si="34"/>
        <v>17119.000928160003</v>
      </c>
    </row>
    <row r="299" spans="1:9" x14ac:dyDescent="0.3">
      <c r="A299">
        <v>8.4</v>
      </c>
      <c r="B299">
        <v>558</v>
      </c>
      <c r="C299">
        <f t="shared" si="28"/>
        <v>70.56</v>
      </c>
      <c r="D299">
        <f t="shared" si="29"/>
        <v>4687.2</v>
      </c>
      <c r="E299">
        <f t="shared" si="30"/>
        <v>680.808852</v>
      </c>
      <c r="F299">
        <f t="shared" si="31"/>
        <v>-122.808852</v>
      </c>
      <c r="G299">
        <f t="shared" si="32"/>
        <v>15082.014129557905</v>
      </c>
      <c r="H299">
        <f t="shared" si="33"/>
        <v>-328.16039999999998</v>
      </c>
      <c r="I299">
        <f t="shared" si="34"/>
        <v>107689.24812815999</v>
      </c>
    </row>
    <row r="300" spans="1:9" x14ac:dyDescent="0.3">
      <c r="A300">
        <v>49</v>
      </c>
      <c r="B300">
        <v>1460</v>
      </c>
      <c r="C300">
        <f t="shared" si="28"/>
        <v>2401</v>
      </c>
      <c r="D300">
        <f t="shared" si="29"/>
        <v>71540</v>
      </c>
      <c r="E300">
        <f t="shared" si="30"/>
        <v>1537.6426199999999</v>
      </c>
      <c r="F300">
        <f t="shared" si="31"/>
        <v>-77.642619999999852</v>
      </c>
      <c r="G300">
        <f t="shared" si="32"/>
        <v>6028.3764404643771</v>
      </c>
      <c r="H300">
        <f t="shared" si="33"/>
        <v>573.83960000000002</v>
      </c>
      <c r="I300">
        <f t="shared" si="34"/>
        <v>329291.88652816002</v>
      </c>
    </row>
    <row r="301" spans="1:9" x14ac:dyDescent="0.3">
      <c r="A301">
        <v>8.4</v>
      </c>
      <c r="B301">
        <v>832</v>
      </c>
      <c r="C301">
        <f t="shared" si="28"/>
        <v>70.56</v>
      </c>
      <c r="D301">
        <f t="shared" si="29"/>
        <v>6988.8</v>
      </c>
      <c r="E301">
        <f t="shared" si="30"/>
        <v>680.808852</v>
      </c>
      <c r="F301">
        <f t="shared" si="31"/>
        <v>151.191148</v>
      </c>
      <c r="G301">
        <f t="shared" si="32"/>
        <v>22858.763233557904</v>
      </c>
      <c r="H301">
        <f t="shared" si="33"/>
        <v>-54.160399999999981</v>
      </c>
      <c r="I301">
        <f t="shared" si="34"/>
        <v>2933.3489281599982</v>
      </c>
    </row>
    <row r="302" spans="1:9" x14ac:dyDescent="0.3">
      <c r="A302">
        <v>8.3000000000000007</v>
      </c>
      <c r="B302">
        <v>1055</v>
      </c>
      <c r="C302">
        <f t="shared" si="28"/>
        <v>68.890000000000015</v>
      </c>
      <c r="D302">
        <f t="shared" si="29"/>
        <v>8756.5</v>
      </c>
      <c r="E302">
        <f t="shared" si="30"/>
        <v>678.69842399999993</v>
      </c>
      <c r="F302">
        <f t="shared" si="31"/>
        <v>376.30157600000007</v>
      </c>
      <c r="G302">
        <f t="shared" si="32"/>
        <v>141602.87610008381</v>
      </c>
      <c r="H302">
        <f t="shared" si="33"/>
        <v>168.83960000000002</v>
      </c>
      <c r="I302">
        <f t="shared" si="34"/>
        <v>28506.810528160007</v>
      </c>
    </row>
    <row r="303" spans="1:9" x14ac:dyDescent="0.3">
      <c r="A303">
        <v>8.6999999999999993</v>
      </c>
      <c r="B303">
        <v>269</v>
      </c>
      <c r="C303">
        <f t="shared" si="28"/>
        <v>75.689999999999984</v>
      </c>
      <c r="D303">
        <f t="shared" si="29"/>
        <v>2340.2999999999997</v>
      </c>
      <c r="E303">
        <f t="shared" si="30"/>
        <v>687.14013599999998</v>
      </c>
      <c r="F303">
        <f t="shared" si="31"/>
        <v>-418.14013599999998</v>
      </c>
      <c r="G303">
        <f t="shared" si="32"/>
        <v>174841.17333409848</v>
      </c>
      <c r="H303">
        <f t="shared" si="33"/>
        <v>-617.16039999999998</v>
      </c>
      <c r="I303">
        <f t="shared" si="34"/>
        <v>380886.95932815998</v>
      </c>
    </row>
    <row r="304" spans="1:9" x14ac:dyDescent="0.3">
      <c r="A304">
        <v>14.3</v>
      </c>
      <c r="B304">
        <v>1261</v>
      </c>
      <c r="C304">
        <f t="shared" si="28"/>
        <v>204.49</v>
      </c>
      <c r="D304">
        <f t="shared" si="29"/>
        <v>18032.3</v>
      </c>
      <c r="E304">
        <f t="shared" si="30"/>
        <v>805.32410400000003</v>
      </c>
      <c r="F304">
        <f t="shared" si="31"/>
        <v>455.67589599999997</v>
      </c>
      <c r="G304">
        <f t="shared" si="32"/>
        <v>207640.52219540279</v>
      </c>
      <c r="H304">
        <f t="shared" si="33"/>
        <v>374.83960000000002</v>
      </c>
      <c r="I304">
        <f t="shared" si="34"/>
        <v>140504.72572816</v>
      </c>
    </row>
    <row r="305" spans="1:9" x14ac:dyDescent="0.3">
      <c r="A305">
        <v>16.5</v>
      </c>
      <c r="B305">
        <v>725</v>
      </c>
      <c r="C305">
        <f t="shared" si="28"/>
        <v>272.25</v>
      </c>
      <c r="D305">
        <f t="shared" si="29"/>
        <v>11962.5</v>
      </c>
      <c r="E305">
        <f t="shared" si="30"/>
        <v>851.75351999999998</v>
      </c>
      <c r="F305">
        <f t="shared" si="31"/>
        <v>-126.75351999999998</v>
      </c>
      <c r="G305">
        <f t="shared" si="32"/>
        <v>16066.454832390395</v>
      </c>
      <c r="H305">
        <f t="shared" si="33"/>
        <v>-161.16039999999998</v>
      </c>
      <c r="I305">
        <f t="shared" si="34"/>
        <v>25972.674528159994</v>
      </c>
    </row>
    <row r="306" spans="1:9" x14ac:dyDescent="0.3">
      <c r="A306">
        <v>9.4</v>
      </c>
      <c r="B306">
        <v>390</v>
      </c>
      <c r="C306">
        <f t="shared" si="28"/>
        <v>88.360000000000014</v>
      </c>
      <c r="D306">
        <f t="shared" si="29"/>
        <v>3666</v>
      </c>
      <c r="E306">
        <f t="shared" si="30"/>
        <v>701.91313200000002</v>
      </c>
      <c r="F306">
        <f t="shared" si="31"/>
        <v>-311.91313200000002</v>
      </c>
      <c r="G306">
        <f t="shared" si="32"/>
        <v>97289.801914049429</v>
      </c>
      <c r="H306">
        <f t="shared" si="33"/>
        <v>-496.16039999999998</v>
      </c>
      <c r="I306">
        <f t="shared" si="34"/>
        <v>246175.14252815998</v>
      </c>
    </row>
    <row r="307" spans="1:9" x14ac:dyDescent="0.3">
      <c r="A307">
        <v>22</v>
      </c>
      <c r="B307">
        <v>667</v>
      </c>
      <c r="C307">
        <f t="shared" si="28"/>
        <v>484</v>
      </c>
      <c r="D307">
        <f t="shared" si="29"/>
        <v>14674</v>
      </c>
      <c r="E307">
        <f t="shared" si="30"/>
        <v>967.82705999999996</v>
      </c>
      <c r="F307">
        <f t="shared" si="31"/>
        <v>-300.82705999999996</v>
      </c>
      <c r="G307">
        <f t="shared" si="32"/>
        <v>90496.920028243578</v>
      </c>
      <c r="H307">
        <f t="shared" si="33"/>
        <v>-219.16039999999998</v>
      </c>
      <c r="I307">
        <f t="shared" si="34"/>
        <v>48031.280928159991</v>
      </c>
    </row>
    <row r="308" spans="1:9" x14ac:dyDescent="0.3">
      <c r="A308">
        <v>15.7</v>
      </c>
      <c r="B308">
        <v>624</v>
      </c>
      <c r="C308">
        <f t="shared" si="28"/>
        <v>246.48999999999998</v>
      </c>
      <c r="D308">
        <f t="shared" si="29"/>
        <v>9796.7999999999993</v>
      </c>
      <c r="E308">
        <f t="shared" si="30"/>
        <v>834.87009599999988</v>
      </c>
      <c r="F308">
        <f t="shared" si="31"/>
        <v>-210.87009599999988</v>
      </c>
      <c r="G308">
        <f t="shared" si="32"/>
        <v>44466.197387049164</v>
      </c>
      <c r="H308">
        <f t="shared" si="33"/>
        <v>-262.16039999999998</v>
      </c>
      <c r="I308">
        <f t="shared" si="34"/>
        <v>68728.07532815999</v>
      </c>
    </row>
    <row r="309" spans="1:9" x14ac:dyDescent="0.3">
      <c r="A309">
        <v>32.200000000000003</v>
      </c>
      <c r="B309">
        <v>987</v>
      </c>
      <c r="C309">
        <f t="shared" si="28"/>
        <v>1036.8400000000001</v>
      </c>
      <c r="D309">
        <f t="shared" si="29"/>
        <v>31781.4</v>
      </c>
      <c r="E309">
        <f t="shared" si="30"/>
        <v>1183.0907159999999</v>
      </c>
      <c r="F309">
        <f t="shared" si="31"/>
        <v>-196.09071599999993</v>
      </c>
      <c r="G309">
        <f t="shared" si="32"/>
        <v>38451.568901392631</v>
      </c>
      <c r="H309">
        <f t="shared" si="33"/>
        <v>100.83960000000002</v>
      </c>
      <c r="I309">
        <f t="shared" si="34"/>
        <v>10168.624928160003</v>
      </c>
    </row>
    <row r="310" spans="1:9" x14ac:dyDescent="0.3">
      <c r="A310">
        <v>3.9</v>
      </c>
      <c r="B310">
        <v>664</v>
      </c>
      <c r="C310">
        <f t="shared" si="28"/>
        <v>15.209999999999999</v>
      </c>
      <c r="D310">
        <f t="shared" si="29"/>
        <v>2589.6</v>
      </c>
      <c r="E310">
        <f t="shared" si="30"/>
        <v>585.83959200000004</v>
      </c>
      <c r="F310">
        <f t="shared" si="31"/>
        <v>78.160407999999961</v>
      </c>
      <c r="G310">
        <f t="shared" si="32"/>
        <v>6109.0493787264577</v>
      </c>
      <c r="H310">
        <f t="shared" si="33"/>
        <v>-222.16039999999998</v>
      </c>
      <c r="I310">
        <f t="shared" si="34"/>
        <v>49355.243328159995</v>
      </c>
    </row>
    <row r="311" spans="1:9" x14ac:dyDescent="0.3">
      <c r="A311">
        <v>8.4</v>
      </c>
      <c r="B311">
        <v>535</v>
      </c>
      <c r="C311">
        <f t="shared" si="28"/>
        <v>70.56</v>
      </c>
      <c r="D311">
        <f t="shared" si="29"/>
        <v>4494</v>
      </c>
      <c r="E311">
        <f t="shared" si="30"/>
        <v>680.808852</v>
      </c>
      <c r="F311">
        <f t="shared" si="31"/>
        <v>-145.808852</v>
      </c>
      <c r="G311">
        <f t="shared" si="32"/>
        <v>21260.221321557903</v>
      </c>
      <c r="H311">
        <f t="shared" si="33"/>
        <v>-351.16039999999998</v>
      </c>
      <c r="I311">
        <f t="shared" si="34"/>
        <v>123313.62652815999</v>
      </c>
    </row>
    <row r="312" spans="1:9" x14ac:dyDescent="0.3">
      <c r="A312">
        <v>9.1999999999999993</v>
      </c>
      <c r="B312">
        <v>481</v>
      </c>
      <c r="C312">
        <f t="shared" si="28"/>
        <v>84.639999999999986</v>
      </c>
      <c r="D312">
        <f t="shared" si="29"/>
        <v>4425.2</v>
      </c>
      <c r="E312">
        <f t="shared" si="30"/>
        <v>697.69227599999999</v>
      </c>
      <c r="F312">
        <f t="shared" si="31"/>
        <v>-216.69227599999999</v>
      </c>
      <c r="G312">
        <f t="shared" si="32"/>
        <v>46955.542478060175</v>
      </c>
      <c r="H312">
        <f t="shared" si="33"/>
        <v>-405.16039999999998</v>
      </c>
      <c r="I312">
        <f t="shared" si="34"/>
        <v>164154.94972815999</v>
      </c>
    </row>
    <row r="313" spans="1:9" x14ac:dyDescent="0.3">
      <c r="A313">
        <v>8</v>
      </c>
      <c r="B313">
        <v>856</v>
      </c>
      <c r="C313">
        <f t="shared" si="28"/>
        <v>64</v>
      </c>
      <c r="D313">
        <f t="shared" si="29"/>
        <v>6848</v>
      </c>
      <c r="E313">
        <f t="shared" si="30"/>
        <v>672.36713999999995</v>
      </c>
      <c r="F313">
        <f t="shared" si="31"/>
        <v>183.63286000000005</v>
      </c>
      <c r="G313">
        <f t="shared" si="32"/>
        <v>33721.027271779618</v>
      </c>
      <c r="H313">
        <f t="shared" si="33"/>
        <v>-30.160399999999981</v>
      </c>
      <c r="I313">
        <f t="shared" si="34"/>
        <v>909.64972815999886</v>
      </c>
    </row>
    <row r="314" spans="1:9" x14ac:dyDescent="0.3">
      <c r="A314">
        <v>15.8</v>
      </c>
      <c r="B314">
        <v>835</v>
      </c>
      <c r="C314">
        <f t="shared" si="28"/>
        <v>249.64000000000001</v>
      </c>
      <c r="D314">
        <f t="shared" si="29"/>
        <v>13193</v>
      </c>
      <c r="E314">
        <f t="shared" si="30"/>
        <v>836.98052400000006</v>
      </c>
      <c r="F314">
        <f t="shared" si="31"/>
        <v>-1.9805240000000595</v>
      </c>
      <c r="G314">
        <f t="shared" si="32"/>
        <v>3.9224753145762357</v>
      </c>
      <c r="H314">
        <f t="shared" si="33"/>
        <v>-51.160399999999981</v>
      </c>
      <c r="I314">
        <f t="shared" si="34"/>
        <v>2617.3865281599983</v>
      </c>
    </row>
    <row r="315" spans="1:9" x14ac:dyDescent="0.3">
      <c r="A315">
        <v>11.1</v>
      </c>
      <c r="B315">
        <v>977</v>
      </c>
      <c r="C315">
        <f t="shared" si="28"/>
        <v>123.21</v>
      </c>
      <c r="D315">
        <f t="shared" si="29"/>
        <v>10844.699999999999</v>
      </c>
      <c r="E315">
        <f t="shared" si="30"/>
        <v>737.79040799999996</v>
      </c>
      <c r="F315">
        <f t="shared" si="31"/>
        <v>239.20959200000004</v>
      </c>
      <c r="G315">
        <f t="shared" si="32"/>
        <v>57221.228904806485</v>
      </c>
      <c r="H315">
        <f t="shared" si="33"/>
        <v>90.839600000000019</v>
      </c>
      <c r="I315">
        <f t="shared" si="34"/>
        <v>8251.8329281600036</v>
      </c>
    </row>
    <row r="316" spans="1:9" x14ac:dyDescent="0.3">
      <c r="A316">
        <v>9.6</v>
      </c>
      <c r="B316">
        <v>716</v>
      </c>
      <c r="C316">
        <f t="shared" si="28"/>
        <v>92.16</v>
      </c>
      <c r="D316">
        <f t="shared" si="29"/>
        <v>6873.5999999999995</v>
      </c>
      <c r="E316">
        <f t="shared" si="30"/>
        <v>706.13398799999993</v>
      </c>
      <c r="F316">
        <f t="shared" si="31"/>
        <v>9.8660120000000688</v>
      </c>
      <c r="G316">
        <f t="shared" si="32"/>
        <v>97.338192784145363</v>
      </c>
      <c r="H316">
        <f t="shared" si="33"/>
        <v>-170.16039999999998</v>
      </c>
      <c r="I316">
        <f t="shared" si="34"/>
        <v>28954.561728159995</v>
      </c>
    </row>
    <row r="317" spans="1:9" x14ac:dyDescent="0.3">
      <c r="A317">
        <v>23.5</v>
      </c>
      <c r="B317">
        <v>1383</v>
      </c>
      <c r="C317">
        <f t="shared" si="28"/>
        <v>552.25</v>
      </c>
      <c r="D317">
        <f t="shared" si="29"/>
        <v>32500.5</v>
      </c>
      <c r="E317">
        <f t="shared" si="30"/>
        <v>999.48347999999999</v>
      </c>
      <c r="F317">
        <f t="shared" si="31"/>
        <v>383.51652000000001</v>
      </c>
      <c r="G317">
        <f t="shared" si="32"/>
        <v>147084.92111291041</v>
      </c>
      <c r="H317">
        <f t="shared" si="33"/>
        <v>496.83960000000002</v>
      </c>
      <c r="I317">
        <f t="shared" si="34"/>
        <v>246849.58812816002</v>
      </c>
    </row>
    <row r="318" spans="1:9" x14ac:dyDescent="0.3">
      <c r="A318">
        <v>9.3000000000000007</v>
      </c>
      <c r="B318">
        <v>972</v>
      </c>
      <c r="C318">
        <f t="shared" si="28"/>
        <v>86.490000000000009</v>
      </c>
      <c r="D318">
        <f t="shared" si="29"/>
        <v>9039.6</v>
      </c>
      <c r="E318">
        <f t="shared" si="30"/>
        <v>699.80270399999995</v>
      </c>
      <c r="F318">
        <f t="shared" si="31"/>
        <v>272.19729600000005</v>
      </c>
      <c r="G318">
        <f t="shared" si="32"/>
        <v>74091.367949711639</v>
      </c>
      <c r="H318">
        <f t="shared" si="33"/>
        <v>85.839600000000019</v>
      </c>
      <c r="I318">
        <f t="shared" si="34"/>
        <v>7368.4369281600029</v>
      </c>
    </row>
    <row r="319" spans="1:9" x14ac:dyDescent="0.3">
      <c r="A319">
        <v>12.6</v>
      </c>
      <c r="B319">
        <v>710</v>
      </c>
      <c r="C319">
        <f t="shared" si="28"/>
        <v>158.76</v>
      </c>
      <c r="D319">
        <f t="shared" si="29"/>
        <v>8946</v>
      </c>
      <c r="E319">
        <f t="shared" si="30"/>
        <v>769.44682799999998</v>
      </c>
      <c r="F319">
        <f t="shared" si="31"/>
        <v>-59.446827999999982</v>
      </c>
      <c r="G319">
        <f t="shared" si="32"/>
        <v>3533.9253592615819</v>
      </c>
      <c r="H319">
        <f t="shared" si="33"/>
        <v>-176.16039999999998</v>
      </c>
      <c r="I319">
        <f t="shared" si="34"/>
        <v>31032.486528159992</v>
      </c>
    </row>
    <row r="320" spans="1:9" x14ac:dyDescent="0.3">
      <c r="A320">
        <v>13.8</v>
      </c>
      <c r="B320">
        <v>352</v>
      </c>
      <c r="C320">
        <f t="shared" si="28"/>
        <v>190.44000000000003</v>
      </c>
      <c r="D320">
        <f t="shared" si="29"/>
        <v>4857.6000000000004</v>
      </c>
      <c r="E320">
        <f t="shared" si="30"/>
        <v>794.77196400000003</v>
      </c>
      <c r="F320">
        <f t="shared" si="31"/>
        <v>-442.77196400000003</v>
      </c>
      <c r="G320">
        <f t="shared" si="32"/>
        <v>196047.01210441731</v>
      </c>
      <c r="H320">
        <f t="shared" si="33"/>
        <v>-534.16039999999998</v>
      </c>
      <c r="I320">
        <f t="shared" si="34"/>
        <v>285327.33292815997</v>
      </c>
    </row>
    <row r="321" spans="1:9" x14ac:dyDescent="0.3">
      <c r="A321">
        <v>52</v>
      </c>
      <c r="B321">
        <v>1960</v>
      </c>
      <c r="C321">
        <f t="shared" si="28"/>
        <v>2704</v>
      </c>
      <c r="D321">
        <f t="shared" si="29"/>
        <v>101920</v>
      </c>
      <c r="E321">
        <f t="shared" si="30"/>
        <v>1600.9554599999999</v>
      </c>
      <c r="F321">
        <f t="shared" si="31"/>
        <v>359.0445400000001</v>
      </c>
      <c r="G321">
        <f t="shared" si="32"/>
        <v>128912.98170381167</v>
      </c>
      <c r="H321">
        <f t="shared" si="33"/>
        <v>1073.8396</v>
      </c>
      <c r="I321">
        <f t="shared" si="34"/>
        <v>1153131.4865281601</v>
      </c>
    </row>
    <row r="322" spans="1:9" x14ac:dyDescent="0.3">
      <c r="A322">
        <v>9</v>
      </c>
      <c r="B322">
        <v>233</v>
      </c>
      <c r="C322">
        <f t="shared" si="28"/>
        <v>81</v>
      </c>
      <c r="D322">
        <f t="shared" si="29"/>
        <v>2097</v>
      </c>
      <c r="E322">
        <f t="shared" si="30"/>
        <v>693.47141999999997</v>
      </c>
      <c r="F322">
        <f t="shared" si="31"/>
        <v>-460.47141999999997</v>
      </c>
      <c r="G322">
        <f t="shared" si="32"/>
        <v>212033.92863681636</v>
      </c>
      <c r="H322">
        <f t="shared" si="33"/>
        <v>-653.16039999999998</v>
      </c>
      <c r="I322">
        <f t="shared" si="34"/>
        <v>426618.50812815997</v>
      </c>
    </row>
    <row r="323" spans="1:9" x14ac:dyDescent="0.3">
      <c r="A323">
        <v>13</v>
      </c>
      <c r="B323">
        <v>1037</v>
      </c>
      <c r="C323">
        <f t="shared" ref="C323:C386" si="35">PRODUCT(A323,A323)</f>
        <v>169</v>
      </c>
      <c r="D323">
        <f t="shared" ref="D323:D386" si="36">PRODUCT(A323,B323)</f>
        <v>13481</v>
      </c>
      <c r="E323">
        <f t="shared" ref="E323:E386" si="37">503.5329+PRODUCT(21.10428,A323)</f>
        <v>777.88853999999992</v>
      </c>
      <c r="F323">
        <f t="shared" ref="F323:F386" si="38">B323-E323</f>
        <v>259.11146000000008</v>
      </c>
      <c r="G323">
        <f t="shared" ref="G323:G386" si="39">PRODUCT(F323,F323)</f>
        <v>67138.748703331643</v>
      </c>
      <c r="H323">
        <f t="shared" ref="H323:H386" si="40">B323-886.1604</f>
        <v>150.83960000000002</v>
      </c>
      <c r="I323">
        <f t="shared" ref="I323:I386" si="41">PRODUCT(H323,H323)</f>
        <v>22752.584928160006</v>
      </c>
    </row>
    <row r="324" spans="1:9" x14ac:dyDescent="0.3">
      <c r="A324">
        <v>24</v>
      </c>
      <c r="B324">
        <v>1018</v>
      </c>
      <c r="C324">
        <f t="shared" si="35"/>
        <v>576</v>
      </c>
      <c r="D324">
        <f t="shared" si="36"/>
        <v>24432</v>
      </c>
      <c r="E324">
        <f t="shared" si="37"/>
        <v>1010.0356199999999</v>
      </c>
      <c r="F324">
        <f t="shared" si="38"/>
        <v>7.9643800000001193</v>
      </c>
      <c r="G324">
        <f t="shared" si="39"/>
        <v>63.431348784401898</v>
      </c>
      <c r="H324">
        <f t="shared" si="40"/>
        <v>131.83960000000002</v>
      </c>
      <c r="I324">
        <f t="shared" si="41"/>
        <v>17381.680128160006</v>
      </c>
    </row>
    <row r="325" spans="1:9" x14ac:dyDescent="0.3">
      <c r="A325">
        <v>25.5</v>
      </c>
      <c r="B325">
        <v>930</v>
      </c>
      <c r="C325">
        <f t="shared" si="35"/>
        <v>650.25</v>
      </c>
      <c r="D325">
        <f t="shared" si="36"/>
        <v>23715</v>
      </c>
      <c r="E325">
        <f t="shared" si="37"/>
        <v>1041.6920399999999</v>
      </c>
      <c r="F325">
        <f t="shared" si="38"/>
        <v>-111.69203999999991</v>
      </c>
      <c r="G325">
        <f t="shared" si="39"/>
        <v>12475.111799361579</v>
      </c>
      <c r="H325">
        <f t="shared" si="40"/>
        <v>43.839600000000019</v>
      </c>
      <c r="I325">
        <f t="shared" si="41"/>
        <v>1921.9105281600016</v>
      </c>
    </row>
    <row r="326" spans="1:9" x14ac:dyDescent="0.3">
      <c r="A326">
        <v>23.9</v>
      </c>
      <c r="B326">
        <v>1096</v>
      </c>
      <c r="C326">
        <f t="shared" si="35"/>
        <v>571.20999999999992</v>
      </c>
      <c r="D326">
        <f t="shared" si="36"/>
        <v>26194.399999999998</v>
      </c>
      <c r="E326">
        <f t="shared" si="37"/>
        <v>1007.9251919999999</v>
      </c>
      <c r="F326">
        <f t="shared" si="38"/>
        <v>88.074808000000075</v>
      </c>
      <c r="G326">
        <f t="shared" si="39"/>
        <v>7757.1718042368775</v>
      </c>
      <c r="H326">
        <f t="shared" si="40"/>
        <v>209.83960000000002</v>
      </c>
      <c r="I326">
        <f t="shared" si="41"/>
        <v>44032.657728160011</v>
      </c>
    </row>
    <row r="327" spans="1:9" x14ac:dyDescent="0.3">
      <c r="A327">
        <v>67</v>
      </c>
      <c r="B327">
        <v>2288</v>
      </c>
      <c r="C327">
        <f t="shared" si="35"/>
        <v>4489</v>
      </c>
      <c r="D327">
        <f t="shared" si="36"/>
        <v>153296</v>
      </c>
      <c r="E327">
        <f t="shared" si="37"/>
        <v>1917.5196599999999</v>
      </c>
      <c r="F327">
        <f t="shared" si="38"/>
        <v>370.48034000000007</v>
      </c>
      <c r="G327">
        <f t="shared" si="39"/>
        <v>137255.68232651564</v>
      </c>
      <c r="H327">
        <f t="shared" si="40"/>
        <v>1401.8396</v>
      </c>
      <c r="I327">
        <f t="shared" si="41"/>
        <v>1965154.26412816</v>
      </c>
    </row>
    <row r="328" spans="1:9" x14ac:dyDescent="0.3">
      <c r="A328">
        <v>4.8</v>
      </c>
      <c r="B328">
        <v>360</v>
      </c>
      <c r="C328">
        <f t="shared" si="35"/>
        <v>23.04</v>
      </c>
      <c r="D328">
        <f t="shared" si="36"/>
        <v>1728</v>
      </c>
      <c r="E328">
        <f t="shared" si="37"/>
        <v>604.83344399999999</v>
      </c>
      <c r="F328">
        <f t="shared" si="38"/>
        <v>-244.83344399999999</v>
      </c>
      <c r="G328">
        <f t="shared" si="39"/>
        <v>59943.415300901128</v>
      </c>
      <c r="H328">
        <f t="shared" si="40"/>
        <v>-526.16039999999998</v>
      </c>
      <c r="I328">
        <f t="shared" si="41"/>
        <v>276844.76652815996</v>
      </c>
    </row>
    <row r="329" spans="1:9" x14ac:dyDescent="0.3">
      <c r="A329">
        <v>40</v>
      </c>
      <c r="B329">
        <v>1213</v>
      </c>
      <c r="C329">
        <f t="shared" si="35"/>
        <v>1600</v>
      </c>
      <c r="D329">
        <f t="shared" si="36"/>
        <v>48520</v>
      </c>
      <c r="E329">
        <f t="shared" si="37"/>
        <v>1347.7040999999999</v>
      </c>
      <c r="F329">
        <f t="shared" si="38"/>
        <v>-134.70409999999993</v>
      </c>
      <c r="G329">
        <f t="shared" si="39"/>
        <v>18145.19455680998</v>
      </c>
      <c r="H329">
        <f t="shared" si="40"/>
        <v>326.83960000000002</v>
      </c>
      <c r="I329">
        <f t="shared" si="41"/>
        <v>106824.12412816001</v>
      </c>
    </row>
    <row r="330" spans="1:9" x14ac:dyDescent="0.3">
      <c r="A330">
        <v>1.7</v>
      </c>
      <c r="B330">
        <v>100</v>
      </c>
      <c r="C330">
        <f t="shared" si="35"/>
        <v>2.8899999999999997</v>
      </c>
      <c r="D330">
        <f t="shared" si="36"/>
        <v>170</v>
      </c>
      <c r="E330">
        <f t="shared" si="37"/>
        <v>539.41017599999998</v>
      </c>
      <c r="F330">
        <f t="shared" si="38"/>
        <v>-439.41017599999998</v>
      </c>
      <c r="G330">
        <f t="shared" si="39"/>
        <v>193081.30277235096</v>
      </c>
      <c r="H330">
        <f t="shared" si="40"/>
        <v>-786.16039999999998</v>
      </c>
      <c r="I330">
        <f t="shared" si="41"/>
        <v>618048.17452816002</v>
      </c>
    </row>
    <row r="331" spans="1:9" x14ac:dyDescent="0.3">
      <c r="A331">
        <v>4.3</v>
      </c>
      <c r="B331">
        <v>584</v>
      </c>
      <c r="C331">
        <f t="shared" si="35"/>
        <v>18.489999999999998</v>
      </c>
      <c r="D331">
        <f t="shared" si="36"/>
        <v>2511.1999999999998</v>
      </c>
      <c r="E331">
        <f t="shared" si="37"/>
        <v>594.28130399999998</v>
      </c>
      <c r="F331">
        <f t="shared" si="38"/>
        <v>-10.281303999999977</v>
      </c>
      <c r="G331">
        <f t="shared" si="39"/>
        <v>105.70521194041554</v>
      </c>
      <c r="H331">
        <f t="shared" si="40"/>
        <v>-302.16039999999998</v>
      </c>
      <c r="I331">
        <f t="shared" si="41"/>
        <v>91300.907328159985</v>
      </c>
    </row>
    <row r="332" spans="1:9" x14ac:dyDescent="0.3">
      <c r="A332">
        <v>14.1</v>
      </c>
      <c r="B332">
        <v>1144</v>
      </c>
      <c r="C332">
        <f t="shared" si="35"/>
        <v>198.81</v>
      </c>
      <c r="D332">
        <f t="shared" si="36"/>
        <v>16130.4</v>
      </c>
      <c r="E332">
        <f t="shared" si="37"/>
        <v>801.10324799999989</v>
      </c>
      <c r="F332">
        <f t="shared" si="38"/>
        <v>342.89675200000011</v>
      </c>
      <c r="G332">
        <f t="shared" si="39"/>
        <v>117578.18253214957</v>
      </c>
      <c r="H332">
        <f t="shared" si="40"/>
        <v>257.83960000000002</v>
      </c>
      <c r="I332">
        <f t="shared" si="41"/>
        <v>66481.259328160013</v>
      </c>
    </row>
    <row r="333" spans="1:9" x14ac:dyDescent="0.3">
      <c r="A333">
        <v>26.4</v>
      </c>
      <c r="B333">
        <v>1126</v>
      </c>
      <c r="C333">
        <f t="shared" si="35"/>
        <v>696.95999999999992</v>
      </c>
      <c r="D333">
        <f t="shared" si="36"/>
        <v>29726.399999999998</v>
      </c>
      <c r="E333">
        <f t="shared" si="37"/>
        <v>1060.685892</v>
      </c>
      <c r="F333">
        <f t="shared" si="38"/>
        <v>65.314108000000033</v>
      </c>
      <c r="G333">
        <f t="shared" si="39"/>
        <v>4265.9327038356687</v>
      </c>
      <c r="H333">
        <f t="shared" si="40"/>
        <v>239.83960000000002</v>
      </c>
      <c r="I333">
        <f t="shared" si="41"/>
        <v>57523.033728160008</v>
      </c>
    </row>
    <row r="334" spans="1:9" x14ac:dyDescent="0.3">
      <c r="A334">
        <v>19.3</v>
      </c>
      <c r="B334">
        <v>1500</v>
      </c>
      <c r="C334">
        <f t="shared" si="35"/>
        <v>372.49</v>
      </c>
      <c r="D334">
        <f t="shared" si="36"/>
        <v>28950</v>
      </c>
      <c r="E334">
        <f t="shared" si="37"/>
        <v>910.84550400000001</v>
      </c>
      <c r="F334">
        <f t="shared" si="38"/>
        <v>589.15449599999999</v>
      </c>
      <c r="G334">
        <f t="shared" si="39"/>
        <v>347103.02015701402</v>
      </c>
      <c r="H334">
        <f t="shared" si="40"/>
        <v>613.83960000000002</v>
      </c>
      <c r="I334">
        <f t="shared" si="41"/>
        <v>376799.05452816002</v>
      </c>
    </row>
    <row r="335" spans="1:9" x14ac:dyDescent="0.3">
      <c r="A335">
        <v>17.8</v>
      </c>
      <c r="B335">
        <v>766</v>
      </c>
      <c r="C335">
        <f t="shared" si="35"/>
        <v>316.84000000000003</v>
      </c>
      <c r="D335">
        <f t="shared" si="36"/>
        <v>13634.800000000001</v>
      </c>
      <c r="E335">
        <f t="shared" si="37"/>
        <v>879.18908399999998</v>
      </c>
      <c r="F335">
        <f t="shared" si="38"/>
        <v>-113.18908399999998</v>
      </c>
      <c r="G335">
        <f t="shared" si="39"/>
        <v>12811.768736759052</v>
      </c>
      <c r="H335">
        <f t="shared" si="40"/>
        <v>-120.16039999999998</v>
      </c>
      <c r="I335">
        <f t="shared" si="41"/>
        <v>14438.521728159996</v>
      </c>
    </row>
    <row r="336" spans="1:9" x14ac:dyDescent="0.3">
      <c r="A336">
        <v>7.1</v>
      </c>
      <c r="B336">
        <v>635</v>
      </c>
      <c r="C336">
        <f t="shared" si="35"/>
        <v>50.41</v>
      </c>
      <c r="D336">
        <f t="shared" si="36"/>
        <v>4508.5</v>
      </c>
      <c r="E336">
        <f t="shared" si="37"/>
        <v>653.373288</v>
      </c>
      <c r="F336">
        <f t="shared" si="38"/>
        <v>-18.373288000000002</v>
      </c>
      <c r="G336">
        <f t="shared" si="39"/>
        <v>337.57771193094408</v>
      </c>
      <c r="H336">
        <f t="shared" si="40"/>
        <v>-251.16039999999998</v>
      </c>
      <c r="I336">
        <f t="shared" si="41"/>
        <v>63081.54652815999</v>
      </c>
    </row>
    <row r="337" spans="1:9" x14ac:dyDescent="0.3">
      <c r="A337">
        <v>42.8</v>
      </c>
      <c r="B337">
        <v>1095</v>
      </c>
      <c r="C337">
        <f t="shared" si="35"/>
        <v>1831.8399999999997</v>
      </c>
      <c r="D337">
        <f t="shared" si="36"/>
        <v>46866</v>
      </c>
      <c r="E337">
        <f t="shared" si="37"/>
        <v>1406.7960839999998</v>
      </c>
      <c r="F337">
        <f t="shared" si="38"/>
        <v>-311.79608399999984</v>
      </c>
      <c r="G337">
        <f t="shared" si="39"/>
        <v>97216.797997734961</v>
      </c>
      <c r="H337">
        <f t="shared" si="40"/>
        <v>208.83960000000002</v>
      </c>
      <c r="I337">
        <f t="shared" si="41"/>
        <v>43613.978528160005</v>
      </c>
    </row>
    <row r="338" spans="1:9" x14ac:dyDescent="0.3">
      <c r="A338">
        <v>18.2</v>
      </c>
      <c r="B338">
        <v>1178</v>
      </c>
      <c r="C338">
        <f t="shared" si="35"/>
        <v>331.23999999999995</v>
      </c>
      <c r="D338">
        <f t="shared" si="36"/>
        <v>21439.599999999999</v>
      </c>
      <c r="E338">
        <f t="shared" si="37"/>
        <v>887.63079599999992</v>
      </c>
      <c r="F338">
        <f t="shared" si="38"/>
        <v>290.36920400000008</v>
      </c>
      <c r="G338">
        <f t="shared" si="39"/>
        <v>84314.274631593667</v>
      </c>
      <c r="H338">
        <f t="shared" si="40"/>
        <v>291.83960000000002</v>
      </c>
      <c r="I338">
        <f t="shared" si="41"/>
        <v>85170.352128160011</v>
      </c>
    </row>
    <row r="339" spans="1:9" x14ac:dyDescent="0.3">
      <c r="A339">
        <v>10.4</v>
      </c>
      <c r="B339">
        <v>411</v>
      </c>
      <c r="C339">
        <f t="shared" si="35"/>
        <v>108.16000000000001</v>
      </c>
      <c r="D339">
        <f t="shared" si="36"/>
        <v>4274.4000000000005</v>
      </c>
      <c r="E339">
        <f t="shared" si="37"/>
        <v>723.01741199999992</v>
      </c>
      <c r="F339">
        <f t="shared" si="38"/>
        <v>-312.01741199999992</v>
      </c>
      <c r="G339">
        <f t="shared" si="39"/>
        <v>97354.865391177693</v>
      </c>
      <c r="H339">
        <f t="shared" si="40"/>
        <v>-475.16039999999998</v>
      </c>
      <c r="I339">
        <f t="shared" si="41"/>
        <v>225777.40572816</v>
      </c>
    </row>
    <row r="340" spans="1:9" x14ac:dyDescent="0.3">
      <c r="A340">
        <v>27.2</v>
      </c>
      <c r="B340">
        <v>1039</v>
      </c>
      <c r="C340">
        <f t="shared" si="35"/>
        <v>739.83999999999992</v>
      </c>
      <c r="D340">
        <f t="shared" si="36"/>
        <v>28260.799999999999</v>
      </c>
      <c r="E340">
        <f t="shared" si="37"/>
        <v>1077.5693159999998</v>
      </c>
      <c r="F340">
        <f t="shared" si="38"/>
        <v>-38.569315999999844</v>
      </c>
      <c r="G340">
        <f t="shared" si="39"/>
        <v>1487.592136707844</v>
      </c>
      <c r="H340">
        <f t="shared" si="40"/>
        <v>152.83960000000002</v>
      </c>
      <c r="I340">
        <f t="shared" si="41"/>
        <v>23359.943328160007</v>
      </c>
    </row>
    <row r="341" spans="1:9" x14ac:dyDescent="0.3">
      <c r="A341">
        <v>8.3000000000000007</v>
      </c>
      <c r="B341">
        <v>286</v>
      </c>
      <c r="C341">
        <f t="shared" si="35"/>
        <v>68.890000000000015</v>
      </c>
      <c r="D341">
        <f t="shared" si="36"/>
        <v>2373.8000000000002</v>
      </c>
      <c r="E341">
        <f t="shared" si="37"/>
        <v>678.69842399999993</v>
      </c>
      <c r="F341">
        <f t="shared" si="38"/>
        <v>-392.69842399999993</v>
      </c>
      <c r="G341">
        <f t="shared" si="39"/>
        <v>154212.05221208371</v>
      </c>
      <c r="H341">
        <f t="shared" si="40"/>
        <v>-600.16039999999998</v>
      </c>
      <c r="I341">
        <f t="shared" si="41"/>
        <v>360192.50572815997</v>
      </c>
    </row>
    <row r="342" spans="1:9" x14ac:dyDescent="0.3">
      <c r="A342">
        <v>19</v>
      </c>
      <c r="B342">
        <v>1644</v>
      </c>
      <c r="C342">
        <f t="shared" si="35"/>
        <v>361</v>
      </c>
      <c r="D342">
        <f t="shared" si="36"/>
        <v>31236</v>
      </c>
      <c r="E342">
        <f t="shared" si="37"/>
        <v>904.51422000000002</v>
      </c>
      <c r="F342">
        <f t="shared" si="38"/>
        <v>739.48577999999998</v>
      </c>
      <c r="G342">
        <f t="shared" si="39"/>
        <v>546839.21882220835</v>
      </c>
      <c r="H342">
        <f t="shared" si="40"/>
        <v>757.83960000000002</v>
      </c>
      <c r="I342">
        <f t="shared" si="41"/>
        <v>574320.85932816006</v>
      </c>
    </row>
    <row r="343" spans="1:9" x14ac:dyDescent="0.3">
      <c r="A343">
        <v>15.2</v>
      </c>
      <c r="B343">
        <v>291</v>
      </c>
      <c r="C343">
        <f t="shared" si="35"/>
        <v>231.04</v>
      </c>
      <c r="D343">
        <f t="shared" si="36"/>
        <v>4423.2</v>
      </c>
      <c r="E343">
        <f t="shared" si="37"/>
        <v>824.31795599999998</v>
      </c>
      <c r="F343">
        <f t="shared" si="38"/>
        <v>-533.31795599999998</v>
      </c>
      <c r="G343">
        <f t="shared" si="39"/>
        <v>284428.04219201789</v>
      </c>
      <c r="H343">
        <f t="shared" si="40"/>
        <v>-595.16039999999998</v>
      </c>
      <c r="I343">
        <f t="shared" si="41"/>
        <v>354215.90172815998</v>
      </c>
    </row>
    <row r="344" spans="1:9" x14ac:dyDescent="0.3">
      <c r="A344">
        <v>29</v>
      </c>
      <c r="B344">
        <v>735</v>
      </c>
      <c r="C344">
        <f t="shared" si="35"/>
        <v>841</v>
      </c>
      <c r="D344">
        <f t="shared" si="36"/>
        <v>21315</v>
      </c>
      <c r="E344">
        <f t="shared" si="37"/>
        <v>1115.55702</v>
      </c>
      <c r="F344">
        <f t="shared" si="38"/>
        <v>-380.55701999999997</v>
      </c>
      <c r="G344">
        <f t="shared" si="39"/>
        <v>144823.64547128038</v>
      </c>
      <c r="H344">
        <f t="shared" si="40"/>
        <v>-151.16039999999998</v>
      </c>
      <c r="I344">
        <f t="shared" si="41"/>
        <v>22849.466528159996</v>
      </c>
    </row>
    <row r="345" spans="1:9" x14ac:dyDescent="0.3">
      <c r="A345">
        <v>26.5</v>
      </c>
      <c r="B345">
        <v>521</v>
      </c>
      <c r="C345">
        <f t="shared" si="35"/>
        <v>702.25</v>
      </c>
      <c r="D345">
        <f t="shared" si="36"/>
        <v>13806.5</v>
      </c>
      <c r="E345">
        <f t="shared" si="37"/>
        <v>1062.7963199999999</v>
      </c>
      <c r="F345">
        <f t="shared" si="38"/>
        <v>-541.79631999999992</v>
      </c>
      <c r="G345">
        <f t="shared" si="39"/>
        <v>293543.25236554234</v>
      </c>
      <c r="H345">
        <f t="shared" si="40"/>
        <v>-365.16039999999998</v>
      </c>
      <c r="I345">
        <f t="shared" si="41"/>
        <v>133342.11772816</v>
      </c>
    </row>
    <row r="346" spans="1:9" x14ac:dyDescent="0.3">
      <c r="A346">
        <v>24.8</v>
      </c>
      <c r="B346">
        <v>924</v>
      </c>
      <c r="C346">
        <f t="shared" si="35"/>
        <v>615.04000000000008</v>
      </c>
      <c r="D346">
        <f t="shared" si="36"/>
        <v>22915.200000000001</v>
      </c>
      <c r="E346">
        <f t="shared" si="37"/>
        <v>1026.919044</v>
      </c>
      <c r="F346">
        <f t="shared" si="38"/>
        <v>-102.91904399999999</v>
      </c>
      <c r="G346">
        <f t="shared" si="39"/>
        <v>10592.329617873933</v>
      </c>
      <c r="H346">
        <f t="shared" si="40"/>
        <v>37.839600000000019</v>
      </c>
      <c r="I346">
        <f t="shared" si="41"/>
        <v>1431.8353281600014</v>
      </c>
    </row>
    <row r="347" spans="1:9" x14ac:dyDescent="0.3">
      <c r="A347">
        <v>44.9</v>
      </c>
      <c r="B347">
        <v>1248</v>
      </c>
      <c r="C347">
        <f t="shared" si="35"/>
        <v>2016.0099999999998</v>
      </c>
      <c r="D347">
        <f t="shared" si="36"/>
        <v>56035.199999999997</v>
      </c>
      <c r="E347">
        <f t="shared" si="37"/>
        <v>1451.1150719999998</v>
      </c>
      <c r="F347">
        <f t="shared" si="38"/>
        <v>-203.11507199999983</v>
      </c>
      <c r="G347">
        <f t="shared" si="39"/>
        <v>41255.732473565113</v>
      </c>
      <c r="H347">
        <f t="shared" si="40"/>
        <v>361.83960000000002</v>
      </c>
      <c r="I347">
        <f t="shared" si="41"/>
        <v>130927.89612816002</v>
      </c>
    </row>
    <row r="348" spans="1:9" x14ac:dyDescent="0.3">
      <c r="A348">
        <v>13.8</v>
      </c>
      <c r="B348">
        <v>696</v>
      </c>
      <c r="C348">
        <f t="shared" si="35"/>
        <v>190.44000000000003</v>
      </c>
      <c r="D348">
        <f t="shared" si="36"/>
        <v>9604.8000000000011</v>
      </c>
      <c r="E348">
        <f t="shared" si="37"/>
        <v>794.77196400000003</v>
      </c>
      <c r="F348">
        <f t="shared" si="38"/>
        <v>-98.771964000000025</v>
      </c>
      <c r="G348">
        <f t="shared" si="39"/>
        <v>9755.9008724173018</v>
      </c>
      <c r="H348">
        <f t="shared" si="40"/>
        <v>-190.16039999999998</v>
      </c>
      <c r="I348">
        <f t="shared" si="41"/>
        <v>36160.977728159996</v>
      </c>
    </row>
    <row r="349" spans="1:9" x14ac:dyDescent="0.3">
      <c r="A349">
        <v>8.9</v>
      </c>
      <c r="B349">
        <v>445</v>
      </c>
      <c r="C349">
        <f t="shared" si="35"/>
        <v>79.210000000000008</v>
      </c>
      <c r="D349">
        <f t="shared" si="36"/>
        <v>3960.5</v>
      </c>
      <c r="E349">
        <f t="shared" si="37"/>
        <v>691.36099200000001</v>
      </c>
      <c r="F349">
        <f t="shared" si="38"/>
        <v>-246.36099200000001</v>
      </c>
      <c r="G349">
        <f t="shared" si="39"/>
        <v>60693.738379224073</v>
      </c>
      <c r="H349">
        <f t="shared" si="40"/>
        <v>-441.16039999999998</v>
      </c>
      <c r="I349">
        <f t="shared" si="41"/>
        <v>194622.49852815998</v>
      </c>
    </row>
    <row r="350" spans="1:9" x14ac:dyDescent="0.3">
      <c r="A350">
        <v>8.6999999999999993</v>
      </c>
      <c r="B350">
        <v>717</v>
      </c>
      <c r="C350">
        <f t="shared" si="35"/>
        <v>75.689999999999984</v>
      </c>
      <c r="D350">
        <f t="shared" si="36"/>
        <v>6237.9</v>
      </c>
      <c r="E350">
        <f t="shared" si="37"/>
        <v>687.14013599999998</v>
      </c>
      <c r="F350">
        <f t="shared" si="38"/>
        <v>29.859864000000016</v>
      </c>
      <c r="G350">
        <f t="shared" si="39"/>
        <v>891.61147809849695</v>
      </c>
      <c r="H350">
        <f t="shared" si="40"/>
        <v>-169.16039999999998</v>
      </c>
      <c r="I350">
        <f t="shared" si="41"/>
        <v>28615.240928159994</v>
      </c>
    </row>
    <row r="351" spans="1:9" x14ac:dyDescent="0.3">
      <c r="A351">
        <v>12.7</v>
      </c>
      <c r="B351">
        <v>656</v>
      </c>
      <c r="C351">
        <f t="shared" si="35"/>
        <v>161.29</v>
      </c>
      <c r="D351">
        <f t="shared" si="36"/>
        <v>8331.1999999999989</v>
      </c>
      <c r="E351">
        <f t="shared" si="37"/>
        <v>771.55725599999994</v>
      </c>
      <c r="F351">
        <f t="shared" si="38"/>
        <v>-115.55725599999994</v>
      </c>
      <c r="G351">
        <f t="shared" si="39"/>
        <v>13353.479414249521</v>
      </c>
      <c r="H351">
        <f t="shared" si="40"/>
        <v>-230.16039999999998</v>
      </c>
      <c r="I351">
        <f t="shared" si="41"/>
        <v>52973.809728159991</v>
      </c>
    </row>
    <row r="352" spans="1:9" x14ac:dyDescent="0.3">
      <c r="A352">
        <v>8.5</v>
      </c>
      <c r="B352">
        <v>1069</v>
      </c>
      <c r="C352">
        <f t="shared" si="35"/>
        <v>72.25</v>
      </c>
      <c r="D352">
        <f t="shared" si="36"/>
        <v>9086.5</v>
      </c>
      <c r="E352">
        <f t="shared" si="37"/>
        <v>682.91927999999996</v>
      </c>
      <c r="F352">
        <f t="shared" si="38"/>
        <v>386.08072000000004</v>
      </c>
      <c r="G352">
        <f t="shared" si="39"/>
        <v>149058.32235571844</v>
      </c>
      <c r="H352">
        <f t="shared" si="40"/>
        <v>182.83960000000002</v>
      </c>
      <c r="I352">
        <f t="shared" si="41"/>
        <v>33430.319328160003</v>
      </c>
    </row>
    <row r="353" spans="1:9" x14ac:dyDescent="0.3">
      <c r="A353">
        <v>34.4</v>
      </c>
      <c r="B353">
        <v>1492</v>
      </c>
      <c r="C353">
        <f t="shared" si="35"/>
        <v>1183.3599999999999</v>
      </c>
      <c r="D353">
        <f t="shared" si="36"/>
        <v>51324.799999999996</v>
      </c>
      <c r="E353">
        <f t="shared" si="37"/>
        <v>1229.5201319999999</v>
      </c>
      <c r="F353">
        <f t="shared" si="38"/>
        <v>262.47986800000012</v>
      </c>
      <c r="G353">
        <f t="shared" si="39"/>
        <v>68895.681105297495</v>
      </c>
      <c r="H353">
        <f t="shared" si="40"/>
        <v>605.83960000000002</v>
      </c>
      <c r="I353">
        <f t="shared" si="41"/>
        <v>367041.62092816003</v>
      </c>
    </row>
    <row r="354" spans="1:9" x14ac:dyDescent="0.3">
      <c r="A354">
        <v>15.4</v>
      </c>
      <c r="B354">
        <v>737</v>
      </c>
      <c r="C354">
        <f t="shared" si="35"/>
        <v>237.16000000000003</v>
      </c>
      <c r="D354">
        <f t="shared" si="36"/>
        <v>11349.800000000001</v>
      </c>
      <c r="E354">
        <f t="shared" si="37"/>
        <v>828.53881200000001</v>
      </c>
      <c r="F354">
        <f t="shared" si="38"/>
        <v>-91.538812000000007</v>
      </c>
      <c r="G354">
        <f t="shared" si="39"/>
        <v>8379.354102371346</v>
      </c>
      <c r="H354">
        <f t="shared" si="40"/>
        <v>-149.16039999999998</v>
      </c>
      <c r="I354">
        <f t="shared" si="41"/>
        <v>22248.824928159993</v>
      </c>
    </row>
    <row r="355" spans="1:9" x14ac:dyDescent="0.3">
      <c r="A355">
        <v>72.8</v>
      </c>
      <c r="B355">
        <v>2019</v>
      </c>
      <c r="C355">
        <f t="shared" si="35"/>
        <v>5299.8399999999992</v>
      </c>
      <c r="D355">
        <f t="shared" si="36"/>
        <v>146983.19999999998</v>
      </c>
      <c r="E355">
        <f t="shared" si="37"/>
        <v>2039.9244839999999</v>
      </c>
      <c r="F355">
        <f t="shared" si="38"/>
        <v>-20.924483999999893</v>
      </c>
      <c r="G355">
        <f t="shared" si="39"/>
        <v>437.83403066625152</v>
      </c>
      <c r="H355">
        <f t="shared" si="40"/>
        <v>1132.8396</v>
      </c>
      <c r="I355">
        <f t="shared" si="41"/>
        <v>1283325.55932816</v>
      </c>
    </row>
    <row r="356" spans="1:9" x14ac:dyDescent="0.3">
      <c r="A356">
        <v>24.1</v>
      </c>
      <c r="B356">
        <v>1348</v>
      </c>
      <c r="C356">
        <f t="shared" si="35"/>
        <v>580.81000000000006</v>
      </c>
      <c r="D356">
        <f t="shared" si="36"/>
        <v>32486.800000000003</v>
      </c>
      <c r="E356">
        <f t="shared" si="37"/>
        <v>1012.1460480000001</v>
      </c>
      <c r="F356">
        <f t="shared" si="38"/>
        <v>335.85395199999994</v>
      </c>
      <c r="G356">
        <f t="shared" si="39"/>
        <v>112797.87707401827</v>
      </c>
      <c r="H356">
        <f t="shared" si="40"/>
        <v>461.83960000000002</v>
      </c>
      <c r="I356">
        <f t="shared" si="41"/>
        <v>213295.81612816002</v>
      </c>
    </row>
    <row r="357" spans="1:9" x14ac:dyDescent="0.3">
      <c r="A357">
        <v>18.100000000000001</v>
      </c>
      <c r="B357">
        <v>815</v>
      </c>
      <c r="C357">
        <f t="shared" si="35"/>
        <v>327.61000000000007</v>
      </c>
      <c r="D357">
        <f t="shared" si="36"/>
        <v>14751.500000000002</v>
      </c>
      <c r="E357">
        <f t="shared" si="37"/>
        <v>885.52036799999996</v>
      </c>
      <c r="F357">
        <f t="shared" si="38"/>
        <v>-70.520367999999962</v>
      </c>
      <c r="G357">
        <f t="shared" si="39"/>
        <v>4973.1223028554186</v>
      </c>
      <c r="H357">
        <f t="shared" si="40"/>
        <v>-71.160399999999981</v>
      </c>
      <c r="I357">
        <f t="shared" si="41"/>
        <v>5063.8025281599976</v>
      </c>
    </row>
    <row r="358" spans="1:9" x14ac:dyDescent="0.3">
      <c r="A358">
        <v>19.600000000000001</v>
      </c>
      <c r="B358">
        <v>1042</v>
      </c>
      <c r="C358">
        <f t="shared" si="35"/>
        <v>384.16000000000008</v>
      </c>
      <c r="D358">
        <f t="shared" si="36"/>
        <v>20423.2</v>
      </c>
      <c r="E358">
        <f t="shared" si="37"/>
        <v>917.17678799999999</v>
      </c>
      <c r="F358">
        <f t="shared" si="38"/>
        <v>124.82321200000001</v>
      </c>
      <c r="G358">
        <f t="shared" si="39"/>
        <v>15580.834253996947</v>
      </c>
      <c r="H358">
        <f t="shared" si="40"/>
        <v>155.83960000000002</v>
      </c>
      <c r="I358">
        <f t="shared" si="41"/>
        <v>24285.980928160006</v>
      </c>
    </row>
    <row r="359" spans="1:9" x14ac:dyDescent="0.3">
      <c r="A359">
        <v>56.9</v>
      </c>
      <c r="B359">
        <v>1782</v>
      </c>
      <c r="C359">
        <f t="shared" si="35"/>
        <v>3237.6099999999997</v>
      </c>
      <c r="D359">
        <f t="shared" si="36"/>
        <v>101395.8</v>
      </c>
      <c r="E359">
        <f t="shared" si="37"/>
        <v>1704.3664319999998</v>
      </c>
      <c r="F359">
        <f t="shared" si="38"/>
        <v>77.633568000000196</v>
      </c>
      <c r="G359">
        <f t="shared" si="39"/>
        <v>6026.970880410654</v>
      </c>
      <c r="H359">
        <f t="shared" si="40"/>
        <v>895.83960000000002</v>
      </c>
      <c r="I359">
        <f t="shared" si="41"/>
        <v>802528.58892816002</v>
      </c>
    </row>
    <row r="360" spans="1:9" x14ac:dyDescent="0.3">
      <c r="A360">
        <v>15.1</v>
      </c>
      <c r="B360">
        <v>716</v>
      </c>
      <c r="C360">
        <f t="shared" si="35"/>
        <v>228.01</v>
      </c>
      <c r="D360">
        <f t="shared" si="36"/>
        <v>10811.6</v>
      </c>
      <c r="E360">
        <f t="shared" si="37"/>
        <v>822.20752799999991</v>
      </c>
      <c r="F360">
        <f t="shared" si="38"/>
        <v>-106.20752799999991</v>
      </c>
      <c r="G360">
        <f t="shared" si="39"/>
        <v>11280.039003870765</v>
      </c>
      <c r="H360">
        <f t="shared" si="40"/>
        <v>-170.16039999999998</v>
      </c>
      <c r="I360">
        <f t="shared" si="41"/>
        <v>28954.561728159995</v>
      </c>
    </row>
    <row r="361" spans="1:9" x14ac:dyDescent="0.3">
      <c r="A361">
        <v>49.8</v>
      </c>
      <c r="B361">
        <v>2009</v>
      </c>
      <c r="C361">
        <f t="shared" si="35"/>
        <v>2480.0399999999995</v>
      </c>
      <c r="D361">
        <f t="shared" si="36"/>
        <v>100048.2</v>
      </c>
      <c r="E361">
        <f t="shared" si="37"/>
        <v>1554.5260439999997</v>
      </c>
      <c r="F361">
        <f t="shared" si="38"/>
        <v>454.47395600000027</v>
      </c>
      <c r="G361">
        <f t="shared" si="39"/>
        <v>206546.57668229018</v>
      </c>
      <c r="H361">
        <f t="shared" si="40"/>
        <v>1122.8396</v>
      </c>
      <c r="I361">
        <f t="shared" si="41"/>
        <v>1260768.7673281601</v>
      </c>
    </row>
    <row r="362" spans="1:9" x14ac:dyDescent="0.3">
      <c r="A362">
        <v>2.8</v>
      </c>
      <c r="B362">
        <v>428</v>
      </c>
      <c r="C362">
        <f t="shared" si="35"/>
        <v>7.839999999999999</v>
      </c>
      <c r="D362">
        <f t="shared" si="36"/>
        <v>1198.3999999999999</v>
      </c>
      <c r="E362">
        <f t="shared" si="37"/>
        <v>562.62488399999995</v>
      </c>
      <c r="F362">
        <f t="shared" si="38"/>
        <v>-134.62488399999995</v>
      </c>
      <c r="G362">
        <f t="shared" si="39"/>
        <v>18123.859392013444</v>
      </c>
      <c r="H362">
        <f t="shared" si="40"/>
        <v>-458.16039999999998</v>
      </c>
      <c r="I362">
        <f t="shared" si="41"/>
        <v>209910.95212815999</v>
      </c>
    </row>
    <row r="363" spans="1:9" x14ac:dyDescent="0.3">
      <c r="A363">
        <v>12.2</v>
      </c>
      <c r="B363">
        <v>682</v>
      </c>
      <c r="C363">
        <f t="shared" si="35"/>
        <v>148.83999999999997</v>
      </c>
      <c r="D363">
        <f t="shared" si="36"/>
        <v>8320.4</v>
      </c>
      <c r="E363">
        <f t="shared" si="37"/>
        <v>761.00511600000004</v>
      </c>
      <c r="F363">
        <f t="shared" si="38"/>
        <v>-79.005116000000044</v>
      </c>
      <c r="G363">
        <f t="shared" si="39"/>
        <v>6241.8083541734632</v>
      </c>
      <c r="H363">
        <f t="shared" si="40"/>
        <v>-204.16039999999998</v>
      </c>
      <c r="I363">
        <f t="shared" si="41"/>
        <v>41681.468928159993</v>
      </c>
    </row>
    <row r="364" spans="1:9" x14ac:dyDescent="0.3">
      <c r="A364">
        <v>21.6</v>
      </c>
      <c r="B364">
        <v>989</v>
      </c>
      <c r="C364">
        <f t="shared" si="35"/>
        <v>466.56000000000006</v>
      </c>
      <c r="D364">
        <f t="shared" si="36"/>
        <v>21362.400000000001</v>
      </c>
      <c r="E364">
        <f t="shared" si="37"/>
        <v>959.38534800000002</v>
      </c>
      <c r="F364">
        <f t="shared" si="38"/>
        <v>29.614651999999978</v>
      </c>
      <c r="G364">
        <f t="shared" si="39"/>
        <v>877.02761308110269</v>
      </c>
      <c r="H364">
        <f t="shared" si="40"/>
        <v>102.83960000000002</v>
      </c>
      <c r="I364">
        <f t="shared" si="41"/>
        <v>10575.983328160004</v>
      </c>
    </row>
    <row r="365" spans="1:9" x14ac:dyDescent="0.3">
      <c r="A365">
        <v>7.1</v>
      </c>
      <c r="B365">
        <v>584</v>
      </c>
      <c r="C365">
        <f t="shared" si="35"/>
        <v>50.41</v>
      </c>
      <c r="D365">
        <f t="shared" si="36"/>
        <v>4146.3999999999996</v>
      </c>
      <c r="E365">
        <f t="shared" si="37"/>
        <v>653.373288</v>
      </c>
      <c r="F365">
        <f t="shared" si="38"/>
        <v>-69.373288000000002</v>
      </c>
      <c r="G365">
        <f t="shared" si="39"/>
        <v>4812.6530879309439</v>
      </c>
      <c r="H365">
        <f t="shared" si="40"/>
        <v>-302.16039999999998</v>
      </c>
      <c r="I365">
        <f t="shared" si="41"/>
        <v>91300.907328159985</v>
      </c>
    </row>
    <row r="366" spans="1:9" x14ac:dyDescent="0.3">
      <c r="A366">
        <v>5.4</v>
      </c>
      <c r="B366">
        <v>1026</v>
      </c>
      <c r="C366">
        <f t="shared" si="35"/>
        <v>29.160000000000004</v>
      </c>
      <c r="D366">
        <f t="shared" si="36"/>
        <v>5540.4000000000005</v>
      </c>
      <c r="E366">
        <f t="shared" si="37"/>
        <v>617.49601199999995</v>
      </c>
      <c r="F366">
        <f t="shared" si="38"/>
        <v>408.50398800000005</v>
      </c>
      <c r="G366">
        <f t="shared" si="39"/>
        <v>166875.50821190418</v>
      </c>
      <c r="H366">
        <f t="shared" si="40"/>
        <v>139.83960000000002</v>
      </c>
      <c r="I366">
        <f t="shared" si="41"/>
        <v>19555.113728160006</v>
      </c>
    </row>
    <row r="367" spans="1:9" x14ac:dyDescent="0.3">
      <c r="A367">
        <v>16.3</v>
      </c>
      <c r="B367">
        <v>978</v>
      </c>
      <c r="C367">
        <f t="shared" si="35"/>
        <v>265.69</v>
      </c>
      <c r="D367">
        <f t="shared" si="36"/>
        <v>15941.400000000001</v>
      </c>
      <c r="E367">
        <f t="shared" si="37"/>
        <v>847.53266400000007</v>
      </c>
      <c r="F367">
        <f t="shared" si="38"/>
        <v>130.46733599999993</v>
      </c>
      <c r="G367">
        <f t="shared" si="39"/>
        <v>17021.72576293688</v>
      </c>
      <c r="H367">
        <f t="shared" si="40"/>
        <v>91.839600000000019</v>
      </c>
      <c r="I367">
        <f t="shared" si="41"/>
        <v>8434.5121281600041</v>
      </c>
    </row>
    <row r="368" spans="1:9" x14ac:dyDescent="0.3">
      <c r="A368">
        <v>47.1</v>
      </c>
      <c r="B368">
        <v>1886</v>
      </c>
      <c r="C368">
        <f t="shared" si="35"/>
        <v>2218.4100000000003</v>
      </c>
      <c r="D368">
        <f t="shared" si="36"/>
        <v>88830.6</v>
      </c>
      <c r="E368">
        <f t="shared" si="37"/>
        <v>1497.544488</v>
      </c>
      <c r="F368">
        <f t="shared" si="38"/>
        <v>388.455512</v>
      </c>
      <c r="G368">
        <f t="shared" si="39"/>
        <v>150897.68480318214</v>
      </c>
      <c r="H368">
        <f t="shared" si="40"/>
        <v>999.83960000000002</v>
      </c>
      <c r="I368">
        <f t="shared" si="41"/>
        <v>999679.22572816</v>
      </c>
    </row>
    <row r="369" spans="1:9" x14ac:dyDescent="0.3">
      <c r="A369">
        <v>3.6</v>
      </c>
      <c r="B369">
        <v>917</v>
      </c>
      <c r="C369">
        <f t="shared" si="35"/>
        <v>12.96</v>
      </c>
      <c r="D369">
        <f t="shared" si="36"/>
        <v>3301.2000000000003</v>
      </c>
      <c r="E369">
        <f t="shared" si="37"/>
        <v>579.50830799999994</v>
      </c>
      <c r="F369">
        <f t="shared" si="38"/>
        <v>337.49169200000006</v>
      </c>
      <c r="G369">
        <f t="shared" si="39"/>
        <v>113900.6421690229</v>
      </c>
      <c r="H369">
        <f t="shared" si="40"/>
        <v>30.839600000000019</v>
      </c>
      <c r="I369">
        <f t="shared" si="41"/>
        <v>951.08092816000112</v>
      </c>
    </row>
    <row r="370" spans="1:9" x14ac:dyDescent="0.3">
      <c r="A370">
        <v>73.599999999999994</v>
      </c>
      <c r="B370">
        <v>2132</v>
      </c>
      <c r="C370">
        <f t="shared" si="35"/>
        <v>5416.9599999999991</v>
      </c>
      <c r="D370">
        <f t="shared" si="36"/>
        <v>156915.19999999998</v>
      </c>
      <c r="E370">
        <f t="shared" si="37"/>
        <v>2056.8079079999998</v>
      </c>
      <c r="F370">
        <f t="shared" si="38"/>
        <v>75.19209200000023</v>
      </c>
      <c r="G370">
        <f t="shared" si="39"/>
        <v>5653.8506993364981</v>
      </c>
      <c r="H370">
        <f t="shared" si="40"/>
        <v>1245.8396</v>
      </c>
      <c r="I370">
        <f t="shared" si="41"/>
        <v>1552116.30892816</v>
      </c>
    </row>
    <row r="371" spans="1:9" x14ac:dyDescent="0.3">
      <c r="A371">
        <v>20.100000000000001</v>
      </c>
      <c r="B371">
        <v>903</v>
      </c>
      <c r="C371">
        <f t="shared" si="35"/>
        <v>404.01000000000005</v>
      </c>
      <c r="D371">
        <f t="shared" si="36"/>
        <v>18150.300000000003</v>
      </c>
      <c r="E371">
        <f t="shared" si="37"/>
        <v>927.728928</v>
      </c>
      <c r="F371">
        <f t="shared" si="38"/>
        <v>-24.728927999999996</v>
      </c>
      <c r="G371">
        <f t="shared" si="39"/>
        <v>611.51988002918381</v>
      </c>
      <c r="H371">
        <f t="shared" si="40"/>
        <v>16.839600000000019</v>
      </c>
      <c r="I371">
        <f t="shared" si="41"/>
        <v>283.5721281600006</v>
      </c>
    </row>
    <row r="372" spans="1:9" x14ac:dyDescent="0.3">
      <c r="A372">
        <v>19.5</v>
      </c>
      <c r="B372">
        <v>772</v>
      </c>
      <c r="C372">
        <f t="shared" si="35"/>
        <v>380.25</v>
      </c>
      <c r="D372">
        <f t="shared" si="36"/>
        <v>15054</v>
      </c>
      <c r="E372">
        <f t="shared" si="37"/>
        <v>915.06636000000003</v>
      </c>
      <c r="F372">
        <f t="shared" si="38"/>
        <v>-143.06636000000003</v>
      </c>
      <c r="G372">
        <f t="shared" si="39"/>
        <v>20467.983363649608</v>
      </c>
      <c r="H372">
        <f t="shared" si="40"/>
        <v>-114.16039999999998</v>
      </c>
      <c r="I372">
        <f t="shared" si="41"/>
        <v>13032.596928159996</v>
      </c>
    </row>
    <row r="373" spans="1:9" x14ac:dyDescent="0.3">
      <c r="A373">
        <v>27.3</v>
      </c>
      <c r="B373">
        <v>711</v>
      </c>
      <c r="C373">
        <f t="shared" si="35"/>
        <v>745.29000000000008</v>
      </c>
      <c r="D373">
        <f t="shared" si="36"/>
        <v>19410.3</v>
      </c>
      <c r="E373">
        <f t="shared" si="37"/>
        <v>1079.679744</v>
      </c>
      <c r="F373">
        <f t="shared" si="38"/>
        <v>-368.67974400000003</v>
      </c>
      <c r="G373">
        <f t="shared" si="39"/>
        <v>135924.75363590557</v>
      </c>
      <c r="H373">
        <f t="shared" si="40"/>
        <v>-175.16039999999998</v>
      </c>
      <c r="I373">
        <f t="shared" si="41"/>
        <v>30681.165728159995</v>
      </c>
    </row>
    <row r="374" spans="1:9" x14ac:dyDescent="0.3">
      <c r="A374">
        <v>3.5</v>
      </c>
      <c r="B374">
        <v>734</v>
      </c>
      <c r="C374">
        <f t="shared" si="35"/>
        <v>12.25</v>
      </c>
      <c r="D374">
        <f t="shared" si="36"/>
        <v>2569</v>
      </c>
      <c r="E374">
        <f t="shared" si="37"/>
        <v>577.39787999999999</v>
      </c>
      <c r="F374">
        <f t="shared" si="38"/>
        <v>156.60212000000001</v>
      </c>
      <c r="G374">
        <f t="shared" si="39"/>
        <v>24524.223988494403</v>
      </c>
      <c r="H374">
        <f t="shared" si="40"/>
        <v>-152.16039999999998</v>
      </c>
      <c r="I374">
        <f t="shared" si="41"/>
        <v>23152.787328159993</v>
      </c>
    </row>
    <row r="375" spans="1:9" x14ac:dyDescent="0.3">
      <c r="A375">
        <v>22.5</v>
      </c>
      <c r="B375">
        <v>988</v>
      </c>
      <c r="C375">
        <f t="shared" si="35"/>
        <v>506.25</v>
      </c>
      <c r="D375">
        <f t="shared" si="36"/>
        <v>22230</v>
      </c>
      <c r="E375">
        <f t="shared" si="37"/>
        <v>978.37919999999997</v>
      </c>
      <c r="F375">
        <f t="shared" si="38"/>
        <v>9.6208000000000311</v>
      </c>
      <c r="G375">
        <f t="shared" si="39"/>
        <v>92.559792640000595</v>
      </c>
      <c r="H375">
        <f t="shared" si="40"/>
        <v>101.83960000000002</v>
      </c>
      <c r="I375">
        <f t="shared" si="41"/>
        <v>10371.304128160004</v>
      </c>
    </row>
    <row r="376" spans="1:9" x14ac:dyDescent="0.3">
      <c r="A376">
        <v>9.6</v>
      </c>
      <c r="B376">
        <v>211</v>
      </c>
      <c r="C376">
        <f t="shared" si="35"/>
        <v>92.16</v>
      </c>
      <c r="D376">
        <f t="shared" si="36"/>
        <v>2025.6</v>
      </c>
      <c r="E376">
        <f t="shared" si="37"/>
        <v>706.13398799999993</v>
      </c>
      <c r="F376">
        <f t="shared" si="38"/>
        <v>-495.13398799999993</v>
      </c>
      <c r="G376">
        <f t="shared" si="39"/>
        <v>245157.66607278408</v>
      </c>
      <c r="H376">
        <f t="shared" si="40"/>
        <v>-675.16039999999998</v>
      </c>
      <c r="I376">
        <f t="shared" si="41"/>
        <v>455841.56572815997</v>
      </c>
    </row>
    <row r="377" spans="1:9" x14ac:dyDescent="0.3">
      <c r="A377">
        <v>7.3</v>
      </c>
      <c r="B377">
        <v>577</v>
      </c>
      <c r="C377">
        <f t="shared" si="35"/>
        <v>53.29</v>
      </c>
      <c r="D377">
        <f t="shared" si="36"/>
        <v>4212.0999999999995</v>
      </c>
      <c r="E377">
        <f t="shared" si="37"/>
        <v>657.59414399999991</v>
      </c>
      <c r="F377">
        <f t="shared" si="38"/>
        <v>-80.594143999999915</v>
      </c>
      <c r="G377">
        <f t="shared" si="39"/>
        <v>6495.4160470927227</v>
      </c>
      <c r="H377">
        <f t="shared" si="40"/>
        <v>-309.16039999999998</v>
      </c>
      <c r="I377">
        <f t="shared" si="41"/>
        <v>95580.152928159994</v>
      </c>
    </row>
    <row r="378" spans="1:9" x14ac:dyDescent="0.3">
      <c r="A378">
        <v>41.9</v>
      </c>
      <c r="B378">
        <v>1435</v>
      </c>
      <c r="C378">
        <f t="shared" si="35"/>
        <v>1755.61</v>
      </c>
      <c r="D378">
        <f t="shared" si="36"/>
        <v>60126.5</v>
      </c>
      <c r="E378">
        <f t="shared" si="37"/>
        <v>1387.802232</v>
      </c>
      <c r="F378">
        <f t="shared" si="38"/>
        <v>47.197767999999996</v>
      </c>
      <c r="G378">
        <f t="shared" si="39"/>
        <v>2227.6293041818235</v>
      </c>
      <c r="H378">
        <f t="shared" si="40"/>
        <v>548.83960000000002</v>
      </c>
      <c r="I378">
        <f t="shared" si="41"/>
        <v>301224.90652816003</v>
      </c>
    </row>
    <row r="379" spans="1:9" x14ac:dyDescent="0.3">
      <c r="A379">
        <v>20.399999999999999</v>
      </c>
      <c r="B379">
        <v>1125</v>
      </c>
      <c r="C379">
        <f t="shared" si="35"/>
        <v>416.15999999999997</v>
      </c>
      <c r="D379">
        <f t="shared" si="36"/>
        <v>22950</v>
      </c>
      <c r="E379">
        <f t="shared" si="37"/>
        <v>934.06021199999986</v>
      </c>
      <c r="F379">
        <f t="shared" si="38"/>
        <v>190.93978800000014</v>
      </c>
      <c r="G379">
        <f t="shared" si="39"/>
        <v>36458.002641484993</v>
      </c>
      <c r="H379">
        <f t="shared" si="40"/>
        <v>238.83960000000002</v>
      </c>
      <c r="I379">
        <f t="shared" si="41"/>
        <v>57044.354528160009</v>
      </c>
    </row>
    <row r="380" spans="1:9" x14ac:dyDescent="0.3">
      <c r="A380">
        <v>22.4</v>
      </c>
      <c r="B380">
        <v>499</v>
      </c>
      <c r="C380">
        <f t="shared" si="35"/>
        <v>501.75999999999993</v>
      </c>
      <c r="D380">
        <f t="shared" si="36"/>
        <v>11177.599999999999</v>
      </c>
      <c r="E380">
        <f t="shared" si="37"/>
        <v>976.2687719999999</v>
      </c>
      <c r="F380">
        <f t="shared" si="38"/>
        <v>-477.2687719999999</v>
      </c>
      <c r="G380">
        <f t="shared" si="39"/>
        <v>227785.48072638788</v>
      </c>
      <c r="H380">
        <f t="shared" si="40"/>
        <v>-387.16039999999998</v>
      </c>
      <c r="I380">
        <f t="shared" si="41"/>
        <v>149893.17532816</v>
      </c>
    </row>
    <row r="381" spans="1:9" x14ac:dyDescent="0.3">
      <c r="A381">
        <v>26.2</v>
      </c>
      <c r="B381">
        <v>1166</v>
      </c>
      <c r="C381">
        <f t="shared" si="35"/>
        <v>686.43999999999994</v>
      </c>
      <c r="D381">
        <f t="shared" si="36"/>
        <v>30549.200000000001</v>
      </c>
      <c r="E381">
        <f t="shared" si="37"/>
        <v>1056.4650360000001</v>
      </c>
      <c r="F381">
        <f t="shared" si="38"/>
        <v>109.53496399999995</v>
      </c>
      <c r="G381">
        <f t="shared" si="39"/>
        <v>11997.908338481284</v>
      </c>
      <c r="H381">
        <f t="shared" si="40"/>
        <v>279.83960000000002</v>
      </c>
      <c r="I381">
        <f t="shared" si="41"/>
        <v>78310.201728160013</v>
      </c>
    </row>
    <row r="382" spans="1:9" x14ac:dyDescent="0.3">
      <c r="A382">
        <v>30.5</v>
      </c>
      <c r="B382">
        <v>988</v>
      </c>
      <c r="C382">
        <f t="shared" si="35"/>
        <v>930.25</v>
      </c>
      <c r="D382">
        <f t="shared" si="36"/>
        <v>30134</v>
      </c>
      <c r="E382">
        <f t="shared" si="37"/>
        <v>1147.21344</v>
      </c>
      <c r="F382">
        <f t="shared" si="38"/>
        <v>-159.21343999999999</v>
      </c>
      <c r="G382">
        <f t="shared" si="39"/>
        <v>25348.919476633597</v>
      </c>
      <c r="H382">
        <f t="shared" si="40"/>
        <v>101.83960000000002</v>
      </c>
      <c r="I382">
        <f t="shared" si="41"/>
        <v>10371.304128160004</v>
      </c>
    </row>
    <row r="383" spans="1:9" x14ac:dyDescent="0.3">
      <c r="A383">
        <v>19</v>
      </c>
      <c r="B383">
        <v>1336</v>
      </c>
      <c r="C383">
        <f t="shared" si="35"/>
        <v>361</v>
      </c>
      <c r="D383">
        <f t="shared" si="36"/>
        <v>25384</v>
      </c>
      <c r="E383">
        <f t="shared" si="37"/>
        <v>904.51422000000002</v>
      </c>
      <c r="F383">
        <f t="shared" si="38"/>
        <v>431.48577999999998</v>
      </c>
      <c r="G383">
        <f t="shared" si="39"/>
        <v>186179.97834220837</v>
      </c>
      <c r="H383">
        <f t="shared" si="40"/>
        <v>449.83960000000002</v>
      </c>
      <c r="I383">
        <f t="shared" si="41"/>
        <v>202355.66572816001</v>
      </c>
    </row>
    <row r="384" spans="1:9" x14ac:dyDescent="0.3">
      <c r="A384">
        <v>12.9</v>
      </c>
      <c r="B384">
        <v>594</v>
      </c>
      <c r="C384">
        <f t="shared" si="35"/>
        <v>166.41</v>
      </c>
      <c r="D384">
        <f t="shared" si="36"/>
        <v>7662.6</v>
      </c>
      <c r="E384">
        <f t="shared" si="37"/>
        <v>775.77811199999996</v>
      </c>
      <c r="F384">
        <f t="shared" si="38"/>
        <v>-181.77811199999996</v>
      </c>
      <c r="G384">
        <f t="shared" si="39"/>
        <v>33043.282002284534</v>
      </c>
      <c r="H384">
        <f t="shared" si="40"/>
        <v>-292.16039999999998</v>
      </c>
      <c r="I384">
        <f t="shared" si="41"/>
        <v>85357.699328159986</v>
      </c>
    </row>
    <row r="385" spans="1:9" x14ac:dyDescent="0.3">
      <c r="A385">
        <v>32.799999999999997</v>
      </c>
      <c r="B385">
        <v>1354</v>
      </c>
      <c r="C385">
        <f t="shared" si="35"/>
        <v>1075.8399999999999</v>
      </c>
      <c r="D385">
        <f t="shared" si="36"/>
        <v>44411.199999999997</v>
      </c>
      <c r="E385">
        <f t="shared" si="37"/>
        <v>1195.7532839999999</v>
      </c>
      <c r="F385">
        <f t="shared" si="38"/>
        <v>158.24671600000011</v>
      </c>
      <c r="G385">
        <f t="shared" si="39"/>
        <v>25042.02312478469</v>
      </c>
      <c r="H385">
        <f t="shared" si="40"/>
        <v>467.83960000000002</v>
      </c>
      <c r="I385">
        <f t="shared" si="41"/>
        <v>218873.89132816001</v>
      </c>
    </row>
    <row r="386" spans="1:9" x14ac:dyDescent="0.3">
      <c r="A386">
        <v>50.6</v>
      </c>
      <c r="B386">
        <v>1458</v>
      </c>
      <c r="C386">
        <f t="shared" si="35"/>
        <v>2560.36</v>
      </c>
      <c r="D386">
        <f t="shared" si="36"/>
        <v>73774.8</v>
      </c>
      <c r="E386">
        <f t="shared" si="37"/>
        <v>1571.4094679999998</v>
      </c>
      <c r="F386">
        <f t="shared" si="38"/>
        <v>-113.40946799999983</v>
      </c>
      <c r="G386">
        <f t="shared" si="39"/>
        <v>12861.707432042986</v>
      </c>
      <c r="H386">
        <f t="shared" si="40"/>
        <v>571.83960000000002</v>
      </c>
      <c r="I386">
        <f t="shared" si="41"/>
        <v>327000.52812816005</v>
      </c>
    </row>
    <row r="387" spans="1:9" x14ac:dyDescent="0.3">
      <c r="A387">
        <v>25.1</v>
      </c>
      <c r="B387">
        <v>1115</v>
      </c>
      <c r="C387">
        <f t="shared" ref="C387:C400" si="42">PRODUCT(A387,A387)</f>
        <v>630.0100000000001</v>
      </c>
      <c r="D387">
        <f t="shared" ref="D387:D400" si="43">PRODUCT(A387,B387)</f>
        <v>27986.5</v>
      </c>
      <c r="E387">
        <f t="shared" ref="E387:E400" si="44">503.5329+PRODUCT(21.10428,A387)</f>
        <v>1033.2503280000001</v>
      </c>
      <c r="F387">
        <f t="shared" ref="F387:F400" si="45">B387-E387</f>
        <v>81.749671999999919</v>
      </c>
      <c r="G387">
        <f t="shared" ref="G387:G400" si="46">PRODUCT(F387,F387)</f>
        <v>6683.0088721075708</v>
      </c>
      <c r="H387">
        <f t="shared" ref="H387:H400" si="47">B387-886.1604</f>
        <v>228.83960000000002</v>
      </c>
      <c r="I387">
        <f t="shared" ref="I387:I400" si="48">PRODUCT(H387,H387)</f>
        <v>52367.562528160008</v>
      </c>
    </row>
    <row r="388" spans="1:9" x14ac:dyDescent="0.3">
      <c r="A388">
        <v>20.100000000000001</v>
      </c>
      <c r="B388">
        <v>447</v>
      </c>
      <c r="C388">
        <f t="shared" si="42"/>
        <v>404.01000000000005</v>
      </c>
      <c r="D388">
        <f t="shared" si="43"/>
        <v>8984.7000000000007</v>
      </c>
      <c r="E388">
        <f t="shared" si="44"/>
        <v>927.728928</v>
      </c>
      <c r="F388">
        <f t="shared" si="45"/>
        <v>-480.728928</v>
      </c>
      <c r="G388">
        <f t="shared" si="46"/>
        <v>231100.30221602917</v>
      </c>
      <c r="H388">
        <f t="shared" si="47"/>
        <v>-439.16039999999998</v>
      </c>
      <c r="I388">
        <f t="shared" si="48"/>
        <v>192861.85692815998</v>
      </c>
    </row>
    <row r="389" spans="1:9" x14ac:dyDescent="0.3">
      <c r="A389">
        <v>15.3</v>
      </c>
      <c r="B389">
        <v>1312</v>
      </c>
      <c r="C389">
        <f t="shared" si="42"/>
        <v>234.09000000000003</v>
      </c>
      <c r="D389">
        <f t="shared" si="43"/>
        <v>20073.600000000002</v>
      </c>
      <c r="E389">
        <f t="shared" si="44"/>
        <v>826.42838400000005</v>
      </c>
      <c r="F389">
        <f t="shared" si="45"/>
        <v>485.57161599999995</v>
      </c>
      <c r="G389">
        <f t="shared" si="46"/>
        <v>235779.7942648514</v>
      </c>
      <c r="H389">
        <f t="shared" si="47"/>
        <v>425.83960000000002</v>
      </c>
      <c r="I389">
        <f t="shared" si="48"/>
        <v>181339.36492816001</v>
      </c>
    </row>
    <row r="390" spans="1:9" x14ac:dyDescent="0.3">
      <c r="A390">
        <v>10.5</v>
      </c>
      <c r="B390">
        <v>817</v>
      </c>
      <c r="C390">
        <f t="shared" si="42"/>
        <v>110.25</v>
      </c>
      <c r="D390">
        <f t="shared" si="43"/>
        <v>8578.5</v>
      </c>
      <c r="E390">
        <f t="shared" si="44"/>
        <v>725.12783999999999</v>
      </c>
      <c r="F390">
        <f t="shared" si="45"/>
        <v>91.872160000000008</v>
      </c>
      <c r="G390">
        <f t="shared" si="46"/>
        <v>8440.4937830656017</v>
      </c>
      <c r="H390">
        <f t="shared" si="47"/>
        <v>-69.160399999999981</v>
      </c>
      <c r="I390">
        <f t="shared" si="48"/>
        <v>4783.1609281599976</v>
      </c>
    </row>
    <row r="391" spans="1:9" x14ac:dyDescent="0.3">
      <c r="A391">
        <v>23.2</v>
      </c>
      <c r="B391">
        <v>344</v>
      </c>
      <c r="C391">
        <f t="shared" si="42"/>
        <v>538.24</v>
      </c>
      <c r="D391">
        <f t="shared" si="43"/>
        <v>7980.8</v>
      </c>
      <c r="E391">
        <f t="shared" si="44"/>
        <v>993.152196</v>
      </c>
      <c r="F391">
        <f t="shared" si="45"/>
        <v>-649.152196</v>
      </c>
      <c r="G391">
        <f t="shared" si="46"/>
        <v>421398.57357162243</v>
      </c>
      <c r="H391">
        <f t="shared" si="47"/>
        <v>-542.16039999999998</v>
      </c>
      <c r="I391">
        <f t="shared" si="48"/>
        <v>293937.89932815998</v>
      </c>
    </row>
    <row r="392" spans="1:9" x14ac:dyDescent="0.3">
      <c r="A392">
        <v>16.3</v>
      </c>
      <c r="B392">
        <v>1249</v>
      </c>
      <c r="C392">
        <f t="shared" si="42"/>
        <v>265.69</v>
      </c>
      <c r="D392">
        <f t="shared" si="43"/>
        <v>20358.7</v>
      </c>
      <c r="E392">
        <f t="shared" si="44"/>
        <v>847.53266400000007</v>
      </c>
      <c r="F392">
        <f t="shared" si="45"/>
        <v>401.46733599999993</v>
      </c>
      <c r="G392">
        <f t="shared" si="46"/>
        <v>161176.02187493685</v>
      </c>
      <c r="H392">
        <f t="shared" si="47"/>
        <v>362.83960000000002</v>
      </c>
      <c r="I392">
        <f t="shared" si="48"/>
        <v>131652.57532816002</v>
      </c>
    </row>
    <row r="393" spans="1:9" x14ac:dyDescent="0.3">
      <c r="A393">
        <v>29.6</v>
      </c>
      <c r="B393">
        <v>735</v>
      </c>
      <c r="C393">
        <f t="shared" si="42"/>
        <v>876.16000000000008</v>
      </c>
      <c r="D393">
        <f t="shared" si="43"/>
        <v>21756</v>
      </c>
      <c r="E393">
        <f t="shared" si="44"/>
        <v>1128.2195879999999</v>
      </c>
      <c r="F393">
        <f t="shared" si="45"/>
        <v>-393.21958799999993</v>
      </c>
      <c r="G393">
        <f t="shared" si="46"/>
        <v>154621.64438688967</v>
      </c>
      <c r="H393">
        <f t="shared" si="47"/>
        <v>-151.16039999999998</v>
      </c>
      <c r="I393">
        <f t="shared" si="48"/>
        <v>22849.466528159996</v>
      </c>
    </row>
    <row r="394" spans="1:9" x14ac:dyDescent="0.3">
      <c r="A394">
        <v>13.3</v>
      </c>
      <c r="B394">
        <v>840</v>
      </c>
      <c r="C394">
        <f t="shared" si="42"/>
        <v>176.89000000000001</v>
      </c>
      <c r="D394">
        <f t="shared" si="43"/>
        <v>11172</v>
      </c>
      <c r="E394">
        <f t="shared" si="44"/>
        <v>784.21982400000002</v>
      </c>
      <c r="F394">
        <f t="shared" si="45"/>
        <v>55.780175999999983</v>
      </c>
      <c r="G394">
        <f t="shared" si="46"/>
        <v>3111.4280345909742</v>
      </c>
      <c r="H394">
        <f t="shared" si="47"/>
        <v>-46.160399999999981</v>
      </c>
      <c r="I394">
        <f t="shared" si="48"/>
        <v>2130.7825281599985</v>
      </c>
    </row>
    <row r="395" spans="1:9" x14ac:dyDescent="0.3">
      <c r="A395">
        <v>6.6</v>
      </c>
      <c r="B395">
        <v>609</v>
      </c>
      <c r="C395">
        <f t="shared" si="42"/>
        <v>43.559999999999995</v>
      </c>
      <c r="D395">
        <f t="shared" si="43"/>
        <v>4019.3999999999996</v>
      </c>
      <c r="E395">
        <f t="shared" si="44"/>
        <v>642.82114799999999</v>
      </c>
      <c r="F395">
        <f t="shared" si="45"/>
        <v>-33.821147999999994</v>
      </c>
      <c r="G395">
        <f t="shared" si="46"/>
        <v>1143.8700520379036</v>
      </c>
      <c r="H395">
        <f t="shared" si="47"/>
        <v>-277.16039999999998</v>
      </c>
      <c r="I395">
        <f t="shared" si="48"/>
        <v>76817.887328159995</v>
      </c>
    </row>
    <row r="396" spans="1:9" x14ac:dyDescent="0.3">
      <c r="A396">
        <v>7.5</v>
      </c>
      <c r="B396">
        <v>611</v>
      </c>
      <c r="C396">
        <f t="shared" si="42"/>
        <v>56.25</v>
      </c>
      <c r="D396">
        <f t="shared" si="43"/>
        <v>4582.5</v>
      </c>
      <c r="E396">
        <f t="shared" si="44"/>
        <v>661.81499999999994</v>
      </c>
      <c r="F396">
        <f t="shared" si="45"/>
        <v>-50.814999999999941</v>
      </c>
      <c r="G396">
        <f t="shared" si="46"/>
        <v>2582.1642249999941</v>
      </c>
      <c r="H396">
        <f t="shared" si="47"/>
        <v>-275.16039999999998</v>
      </c>
      <c r="I396">
        <f t="shared" si="48"/>
        <v>75713.245728159993</v>
      </c>
    </row>
    <row r="397" spans="1:9" x14ac:dyDescent="0.3">
      <c r="A397">
        <v>3.3</v>
      </c>
      <c r="B397">
        <v>822</v>
      </c>
      <c r="C397">
        <f t="shared" si="42"/>
        <v>10.889999999999999</v>
      </c>
      <c r="D397">
        <f t="shared" si="43"/>
        <v>2712.6</v>
      </c>
      <c r="E397">
        <f t="shared" si="44"/>
        <v>573.17702399999996</v>
      </c>
      <c r="F397">
        <f t="shared" si="45"/>
        <v>248.82297600000004</v>
      </c>
      <c r="G397">
        <f t="shared" si="46"/>
        <v>61912.873385496598</v>
      </c>
      <c r="H397">
        <f t="shared" si="47"/>
        <v>-64.160399999999981</v>
      </c>
      <c r="I397">
        <f t="shared" si="48"/>
        <v>4116.5569281599974</v>
      </c>
    </row>
    <row r="398" spans="1:9" x14ac:dyDescent="0.3">
      <c r="A398">
        <v>48.3</v>
      </c>
      <c r="B398">
        <v>1400</v>
      </c>
      <c r="C398">
        <f t="shared" si="42"/>
        <v>2332.89</v>
      </c>
      <c r="D398">
        <f t="shared" si="43"/>
        <v>67620</v>
      </c>
      <c r="E398">
        <f t="shared" si="44"/>
        <v>1522.8696239999999</v>
      </c>
      <c r="F398">
        <f t="shared" si="45"/>
        <v>-122.86962399999993</v>
      </c>
      <c r="G398">
        <f t="shared" si="46"/>
        <v>15096.944501901358</v>
      </c>
      <c r="H398">
        <f t="shared" si="47"/>
        <v>513.83960000000002</v>
      </c>
      <c r="I398">
        <f t="shared" si="48"/>
        <v>264031.13452816004</v>
      </c>
    </row>
    <row r="399" spans="1:9" x14ac:dyDescent="0.3">
      <c r="A399">
        <v>19.899999999999999</v>
      </c>
      <c r="B399">
        <v>1011</v>
      </c>
      <c r="C399">
        <f t="shared" si="42"/>
        <v>396.00999999999993</v>
      </c>
      <c r="D399">
        <f t="shared" si="43"/>
        <v>20118.899999999998</v>
      </c>
      <c r="E399">
        <f t="shared" si="44"/>
        <v>923.50807199999986</v>
      </c>
      <c r="F399">
        <f t="shared" si="45"/>
        <v>87.491928000000144</v>
      </c>
      <c r="G399">
        <f t="shared" si="46"/>
        <v>7654.8374651572094</v>
      </c>
      <c r="H399">
        <f t="shared" si="47"/>
        <v>124.83960000000002</v>
      </c>
      <c r="I399">
        <f t="shared" si="48"/>
        <v>15584.925728160004</v>
      </c>
    </row>
    <row r="400" spans="1:9" x14ac:dyDescent="0.3">
      <c r="A400">
        <v>11</v>
      </c>
      <c r="B400">
        <v>1023</v>
      </c>
      <c r="C400">
        <f t="shared" si="42"/>
        <v>121</v>
      </c>
      <c r="D400">
        <f t="shared" si="43"/>
        <v>11253</v>
      </c>
      <c r="E400">
        <f t="shared" si="44"/>
        <v>735.67998</v>
      </c>
      <c r="F400">
        <f t="shared" si="45"/>
        <v>287.32002</v>
      </c>
      <c r="G400">
        <f t="shared" si="46"/>
        <v>82552.7938928004</v>
      </c>
      <c r="H400">
        <f t="shared" si="47"/>
        <v>136.83960000000002</v>
      </c>
      <c r="I400">
        <f t="shared" si="48"/>
        <v>18725.076128160006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429D-13A5-4A1A-9E4C-3F95316C3F30}">
  <dimension ref="A1:P400"/>
  <sheetViews>
    <sheetView workbookViewId="0">
      <selection activeCell="R9" sqref="R9"/>
    </sheetView>
  </sheetViews>
  <sheetFormatPr defaultRowHeight="14.4" x14ac:dyDescent="0.3"/>
  <sheetData>
    <row r="1" spans="1:16" x14ac:dyDescent="0.3">
      <c r="A1" t="s">
        <v>1</v>
      </c>
      <c r="B1" t="s">
        <v>6</v>
      </c>
      <c r="C1" t="s">
        <v>28</v>
      </c>
      <c r="D1" t="s">
        <v>29</v>
      </c>
      <c r="E1" t="s">
        <v>17</v>
      </c>
      <c r="F1" t="s">
        <v>24</v>
      </c>
      <c r="G1" t="s">
        <v>25</v>
      </c>
      <c r="H1" t="s">
        <v>18</v>
      </c>
      <c r="I1" t="s">
        <v>19</v>
      </c>
      <c r="J1" t="s">
        <v>10</v>
      </c>
      <c r="K1" t="s">
        <v>11</v>
      </c>
      <c r="L1" t="s">
        <v>14</v>
      </c>
      <c r="M1" t="s">
        <v>12</v>
      </c>
      <c r="N1" t="s">
        <v>13</v>
      </c>
    </row>
    <row r="2" spans="1:16" x14ac:dyDescent="0.3">
      <c r="A2">
        <v>237</v>
      </c>
      <c r="B2">
        <v>1060</v>
      </c>
      <c r="C2">
        <f>PRODUCT(A2,A2)</f>
        <v>56169</v>
      </c>
      <c r="D2">
        <f>PRODUCT(A2,B2)</f>
        <v>251220</v>
      </c>
      <c r="E2">
        <f>722.8318+PRODUCT(0.349343,A2)</f>
        <v>805.62609100000009</v>
      </c>
      <c r="F2">
        <f>B2-E2</f>
        <v>254.37390899999991</v>
      </c>
      <c r="G2">
        <f>PRODUCT(F2,F2)</f>
        <v>64706.085579940234</v>
      </c>
      <c r="H2">
        <f>B2-886.1604</f>
        <v>173.83960000000002</v>
      </c>
      <c r="I2">
        <f>PRODUCT(H2,H2)</f>
        <v>30220.206528160008</v>
      </c>
      <c r="J2">
        <f>SUM(A2:A400)/COUNT(A2:A400)</f>
        <v>467.531328320802</v>
      </c>
      <c r="K2">
        <f>SUM(B2:B400)/COUNT(B2:B400)</f>
        <v>886.16040100250632</v>
      </c>
      <c r="L2">
        <f>SUM(C2:C400)/COUNT(C2:C400)</f>
        <v>672717.96741854632</v>
      </c>
      <c r="M2">
        <f>SUM(D2:D400)/COUNT(D2:D400)</f>
        <v>572955.5388471178</v>
      </c>
      <c r="N2">
        <f>PRODUCT(J2,J2)</f>
        <v>218585.54296141356</v>
      </c>
    </row>
    <row r="3" spans="1:16" x14ac:dyDescent="0.3">
      <c r="A3">
        <v>63</v>
      </c>
      <c r="B3">
        <v>691</v>
      </c>
      <c r="C3">
        <f t="shared" ref="C3:C66" si="0">PRODUCT(A3,A3)</f>
        <v>3969</v>
      </c>
      <c r="D3">
        <f t="shared" ref="D3:D66" si="1">PRODUCT(A3,B3)</f>
        <v>43533</v>
      </c>
      <c r="E3">
        <f t="shared" ref="E3:E66" si="2">722.8318+PRODUCT(0.349343,A3)</f>
        <v>744.84040900000002</v>
      </c>
      <c r="F3">
        <f t="shared" ref="F3:F66" si="3">B3-E3</f>
        <v>-53.840409000000022</v>
      </c>
      <c r="G3">
        <f t="shared" ref="G3:G66" si="4">PRODUCT(F3,F3)</f>
        <v>2898.7896412872833</v>
      </c>
      <c r="H3">
        <f t="shared" ref="H3:H66" si="5">B3-886.1604</f>
        <v>-195.16039999999998</v>
      </c>
      <c r="I3">
        <f t="shared" ref="I3:I66" si="6">PRODUCT(H3,H3)</f>
        <v>38087.581728159996</v>
      </c>
    </row>
    <row r="4" spans="1:16" x14ac:dyDescent="0.3">
      <c r="A4">
        <v>43</v>
      </c>
      <c r="B4">
        <v>589</v>
      </c>
      <c r="C4">
        <f t="shared" si="0"/>
        <v>1849</v>
      </c>
      <c r="D4">
        <f t="shared" si="1"/>
        <v>25327</v>
      </c>
      <c r="E4">
        <f t="shared" si="2"/>
        <v>737.85354900000004</v>
      </c>
      <c r="F4">
        <f t="shared" si="3"/>
        <v>-148.85354900000004</v>
      </c>
      <c r="G4">
        <f t="shared" si="4"/>
        <v>22157.379049895415</v>
      </c>
      <c r="H4">
        <f t="shared" si="5"/>
        <v>-297.16039999999998</v>
      </c>
      <c r="I4">
        <f t="shared" si="6"/>
        <v>88304.303328159993</v>
      </c>
    </row>
    <row r="5" spans="1:16" x14ac:dyDescent="0.3">
      <c r="A5">
        <v>448</v>
      </c>
      <c r="B5">
        <v>692</v>
      </c>
      <c r="C5">
        <f t="shared" si="0"/>
        <v>200704</v>
      </c>
      <c r="D5">
        <f t="shared" si="1"/>
        <v>310016</v>
      </c>
      <c r="E5">
        <f t="shared" si="2"/>
        <v>879.33746400000007</v>
      </c>
      <c r="F5">
        <f t="shared" si="3"/>
        <v>-187.33746400000007</v>
      </c>
      <c r="G5">
        <f t="shared" si="4"/>
        <v>35095.325417951324</v>
      </c>
      <c r="H5">
        <f t="shared" si="5"/>
        <v>-194.16039999999998</v>
      </c>
      <c r="I5">
        <f t="shared" si="6"/>
        <v>37698.260928159994</v>
      </c>
    </row>
    <row r="6" spans="1:16" x14ac:dyDescent="0.3">
      <c r="A6">
        <v>64</v>
      </c>
      <c r="B6">
        <v>741</v>
      </c>
      <c r="C6">
        <f t="shared" si="0"/>
        <v>4096</v>
      </c>
      <c r="D6">
        <f t="shared" si="1"/>
        <v>47424</v>
      </c>
      <c r="E6">
        <f t="shared" si="2"/>
        <v>745.189752</v>
      </c>
      <c r="F6">
        <f t="shared" si="3"/>
        <v>-4.1897519999999986</v>
      </c>
      <c r="G6">
        <f t="shared" si="4"/>
        <v>17.554021821503987</v>
      </c>
      <c r="H6">
        <f t="shared" si="5"/>
        <v>-145.16039999999998</v>
      </c>
      <c r="I6">
        <f t="shared" si="6"/>
        <v>21071.541728159995</v>
      </c>
    </row>
    <row r="7" spans="1:16" x14ac:dyDescent="0.3">
      <c r="A7">
        <v>83</v>
      </c>
      <c r="B7">
        <v>684</v>
      </c>
      <c r="C7">
        <f t="shared" si="0"/>
        <v>6889</v>
      </c>
      <c r="D7">
        <f t="shared" si="1"/>
        <v>56772</v>
      </c>
      <c r="E7">
        <f t="shared" si="2"/>
        <v>751.827269</v>
      </c>
      <c r="F7">
        <f t="shared" si="3"/>
        <v>-67.827269000000001</v>
      </c>
      <c r="G7">
        <f t="shared" si="4"/>
        <v>4600.538419998361</v>
      </c>
      <c r="H7">
        <f t="shared" si="5"/>
        <v>-202.16039999999998</v>
      </c>
      <c r="I7">
        <f t="shared" si="6"/>
        <v>40868.82732815999</v>
      </c>
    </row>
    <row r="8" spans="1:16" x14ac:dyDescent="0.3">
      <c r="A8">
        <v>169</v>
      </c>
      <c r="B8">
        <v>1046</v>
      </c>
      <c r="C8">
        <f t="shared" si="0"/>
        <v>28561</v>
      </c>
      <c r="D8">
        <f t="shared" si="1"/>
        <v>176774</v>
      </c>
      <c r="E8">
        <f t="shared" si="2"/>
        <v>781.870767</v>
      </c>
      <c r="F8">
        <f t="shared" si="3"/>
        <v>264.129233</v>
      </c>
      <c r="G8">
        <f t="shared" si="4"/>
        <v>69764.251725168288</v>
      </c>
      <c r="H8">
        <f t="shared" si="5"/>
        <v>159.83960000000002</v>
      </c>
      <c r="I8">
        <f t="shared" si="6"/>
        <v>25548.697728160005</v>
      </c>
      <c r="J8" t="s">
        <v>22</v>
      </c>
      <c r="K8" t="s">
        <v>23</v>
      </c>
    </row>
    <row r="9" spans="1:16" x14ac:dyDescent="0.3">
      <c r="A9">
        <v>644</v>
      </c>
      <c r="B9">
        <v>624</v>
      </c>
      <c r="C9">
        <f t="shared" si="0"/>
        <v>414736</v>
      </c>
      <c r="D9">
        <f t="shared" si="1"/>
        <v>401856</v>
      </c>
      <c r="E9">
        <f t="shared" si="2"/>
        <v>947.80869200000006</v>
      </c>
      <c r="F9">
        <f t="shared" si="3"/>
        <v>-323.80869200000006</v>
      </c>
      <c r="G9">
        <f t="shared" si="4"/>
        <v>104852.0690147509</v>
      </c>
      <c r="H9">
        <f t="shared" si="5"/>
        <v>-262.16039999999998</v>
      </c>
      <c r="I9">
        <f t="shared" si="6"/>
        <v>68728.07532815999</v>
      </c>
      <c r="J9">
        <f>(M2-PRODUCT(J2,K2))/(L2-N2)</f>
        <v>0.34934257260042184</v>
      </c>
      <c r="K9">
        <f>K2-PRODUCT(J9,J2)</f>
        <v>722.83180399562491</v>
      </c>
      <c r="N9" t="s">
        <v>20</v>
      </c>
      <c r="O9" t="s">
        <v>21</v>
      </c>
      <c r="P9" s="1">
        <v>2</v>
      </c>
    </row>
    <row r="10" spans="1:16" x14ac:dyDescent="0.3">
      <c r="A10">
        <v>306</v>
      </c>
      <c r="B10">
        <v>812</v>
      </c>
      <c r="C10">
        <f t="shared" si="0"/>
        <v>93636</v>
      </c>
      <c r="D10">
        <f t="shared" si="1"/>
        <v>248472</v>
      </c>
      <c r="E10">
        <f t="shared" si="2"/>
        <v>829.73075800000004</v>
      </c>
      <c r="F10">
        <f t="shared" si="3"/>
        <v>-17.730758000000037</v>
      </c>
      <c r="G10">
        <f t="shared" si="4"/>
        <v>314.37977925456534</v>
      </c>
      <c r="H10">
        <f t="shared" si="5"/>
        <v>-74.160399999999981</v>
      </c>
      <c r="I10">
        <f t="shared" si="6"/>
        <v>5499.764928159997</v>
      </c>
      <c r="N10">
        <f>SUM(G2:G400)</f>
        <v>27089843.398204658</v>
      </c>
      <c r="O10">
        <f>SUM(I2:I400)</f>
        <v>49203391.734335825</v>
      </c>
      <c r="P10">
        <f>1-(N10/O10)</f>
        <v>0.44943138179434827</v>
      </c>
    </row>
    <row r="11" spans="1:16" x14ac:dyDescent="0.3">
      <c r="A11">
        <v>48</v>
      </c>
      <c r="B11">
        <v>816</v>
      </c>
      <c r="C11">
        <f t="shared" si="0"/>
        <v>2304</v>
      </c>
      <c r="D11">
        <f t="shared" si="1"/>
        <v>39168</v>
      </c>
      <c r="E11">
        <f t="shared" si="2"/>
        <v>739.60026400000004</v>
      </c>
      <c r="F11">
        <f t="shared" si="3"/>
        <v>76.399735999999962</v>
      </c>
      <c r="G11">
        <f t="shared" si="4"/>
        <v>5836.9196608696902</v>
      </c>
      <c r="H11">
        <f t="shared" si="5"/>
        <v>-70.160399999999981</v>
      </c>
      <c r="I11">
        <f t="shared" si="6"/>
        <v>4922.4817281599971</v>
      </c>
    </row>
    <row r="12" spans="1:16" x14ac:dyDescent="0.3">
      <c r="A12">
        <v>1006</v>
      </c>
      <c r="B12">
        <v>1460</v>
      </c>
      <c r="C12">
        <f t="shared" si="0"/>
        <v>1012036</v>
      </c>
      <c r="D12">
        <f t="shared" si="1"/>
        <v>1468760</v>
      </c>
      <c r="E12">
        <f t="shared" si="2"/>
        <v>1074.2708580000001</v>
      </c>
      <c r="F12">
        <f t="shared" si="3"/>
        <v>385.72914199999991</v>
      </c>
      <c r="G12">
        <f t="shared" si="4"/>
        <v>148786.9709880561</v>
      </c>
      <c r="H12">
        <f t="shared" si="5"/>
        <v>573.83960000000002</v>
      </c>
      <c r="I12">
        <f t="shared" si="6"/>
        <v>329291.88652816002</v>
      </c>
    </row>
    <row r="13" spans="1:16" x14ac:dyDescent="0.3">
      <c r="A13">
        <v>230</v>
      </c>
      <c r="B13">
        <v>772</v>
      </c>
      <c r="C13">
        <f t="shared" si="0"/>
        <v>52900</v>
      </c>
      <c r="D13">
        <f t="shared" si="1"/>
        <v>177560</v>
      </c>
      <c r="E13">
        <f t="shared" si="2"/>
        <v>803.18069000000003</v>
      </c>
      <c r="F13">
        <f t="shared" si="3"/>
        <v>-31.180690000000027</v>
      </c>
      <c r="G13">
        <f t="shared" si="4"/>
        <v>972.23542887610165</v>
      </c>
      <c r="H13">
        <f t="shared" si="5"/>
        <v>-114.16039999999998</v>
      </c>
      <c r="I13">
        <f t="shared" si="6"/>
        <v>13032.596928159996</v>
      </c>
    </row>
    <row r="14" spans="1:16" x14ac:dyDescent="0.3">
      <c r="A14">
        <v>943</v>
      </c>
      <c r="B14">
        <v>1541</v>
      </c>
      <c r="C14">
        <f t="shared" si="0"/>
        <v>889249</v>
      </c>
      <c r="D14">
        <f t="shared" si="1"/>
        <v>1453163</v>
      </c>
      <c r="E14">
        <f t="shared" si="2"/>
        <v>1052.2622490000001</v>
      </c>
      <c r="F14">
        <f t="shared" si="3"/>
        <v>488.73775099999989</v>
      </c>
      <c r="G14">
        <f t="shared" si="4"/>
        <v>238864.5892525379</v>
      </c>
      <c r="H14">
        <f t="shared" si="5"/>
        <v>654.83960000000002</v>
      </c>
      <c r="I14">
        <f t="shared" si="6"/>
        <v>428814.90172816004</v>
      </c>
    </row>
    <row r="15" spans="1:16" x14ac:dyDescent="0.3">
      <c r="A15">
        <v>202</v>
      </c>
      <c r="B15">
        <v>493</v>
      </c>
      <c r="C15">
        <f t="shared" si="0"/>
        <v>40804</v>
      </c>
      <c r="D15">
        <f t="shared" si="1"/>
        <v>99586</v>
      </c>
      <c r="E15">
        <f t="shared" si="2"/>
        <v>793.39908600000001</v>
      </c>
      <c r="F15">
        <f t="shared" si="3"/>
        <v>-300.39908600000001</v>
      </c>
      <c r="G15">
        <f t="shared" si="4"/>
        <v>90239.610869635406</v>
      </c>
      <c r="H15">
        <f t="shared" si="5"/>
        <v>-393.16039999999998</v>
      </c>
      <c r="I15">
        <f t="shared" si="6"/>
        <v>154575.10012815997</v>
      </c>
    </row>
    <row r="16" spans="1:16" x14ac:dyDescent="0.3">
      <c r="A16">
        <v>56</v>
      </c>
      <c r="B16">
        <v>644</v>
      </c>
      <c r="C16">
        <f t="shared" si="0"/>
        <v>3136</v>
      </c>
      <c r="D16">
        <f t="shared" si="1"/>
        <v>36064</v>
      </c>
      <c r="E16">
        <f t="shared" si="2"/>
        <v>742.39500800000008</v>
      </c>
      <c r="F16">
        <f t="shared" si="3"/>
        <v>-98.395008000000075</v>
      </c>
      <c r="G16">
        <f t="shared" si="4"/>
        <v>9681.5775993200787</v>
      </c>
      <c r="H16">
        <f t="shared" si="5"/>
        <v>-242.16039999999998</v>
      </c>
      <c r="I16">
        <f t="shared" si="6"/>
        <v>58641.659328159993</v>
      </c>
    </row>
    <row r="17" spans="1:9" x14ac:dyDescent="0.3">
      <c r="A17">
        <v>2587</v>
      </c>
      <c r="B17">
        <v>1738</v>
      </c>
      <c r="C17">
        <f t="shared" si="0"/>
        <v>6692569</v>
      </c>
      <c r="D17">
        <f t="shared" si="1"/>
        <v>4496206</v>
      </c>
      <c r="E17">
        <f t="shared" si="2"/>
        <v>1626.5821410000001</v>
      </c>
      <c r="F17">
        <f t="shared" si="3"/>
        <v>111.41785899999991</v>
      </c>
      <c r="G17">
        <f t="shared" si="4"/>
        <v>12413.93930414386</v>
      </c>
      <c r="H17">
        <f t="shared" si="5"/>
        <v>851.83960000000002</v>
      </c>
      <c r="I17">
        <f t="shared" si="6"/>
        <v>725630.70412816002</v>
      </c>
    </row>
    <row r="18" spans="1:9" x14ac:dyDescent="0.3">
      <c r="A18">
        <v>266</v>
      </c>
      <c r="B18">
        <v>618</v>
      </c>
      <c r="C18">
        <f t="shared" si="0"/>
        <v>70756</v>
      </c>
      <c r="D18">
        <f t="shared" si="1"/>
        <v>164388</v>
      </c>
      <c r="E18">
        <f t="shared" si="2"/>
        <v>815.75703800000008</v>
      </c>
      <c r="F18">
        <f t="shared" si="3"/>
        <v>-197.75703800000008</v>
      </c>
      <c r="G18">
        <f t="shared" si="4"/>
        <v>39107.846078533476</v>
      </c>
      <c r="H18">
        <f t="shared" si="5"/>
        <v>-268.16039999999998</v>
      </c>
      <c r="I18">
        <f t="shared" si="6"/>
        <v>71910.000128159983</v>
      </c>
    </row>
    <row r="19" spans="1:9" x14ac:dyDescent="0.3">
      <c r="A19">
        <v>620</v>
      </c>
      <c r="B19">
        <v>1415</v>
      </c>
      <c r="C19">
        <f t="shared" si="0"/>
        <v>384400</v>
      </c>
      <c r="D19">
        <f t="shared" si="1"/>
        <v>877300</v>
      </c>
      <c r="E19">
        <f t="shared" si="2"/>
        <v>939.42446000000007</v>
      </c>
      <c r="F19">
        <f t="shared" si="3"/>
        <v>475.57553999999993</v>
      </c>
      <c r="G19">
        <f t="shared" si="4"/>
        <v>226172.09424629153</v>
      </c>
      <c r="H19">
        <f t="shared" si="5"/>
        <v>528.83960000000002</v>
      </c>
      <c r="I19">
        <f t="shared" si="6"/>
        <v>279671.32252816</v>
      </c>
    </row>
    <row r="20" spans="1:9" x14ac:dyDescent="0.3">
      <c r="A20">
        <v>118</v>
      </c>
      <c r="B20">
        <v>753</v>
      </c>
      <c r="C20">
        <f t="shared" si="0"/>
        <v>13924</v>
      </c>
      <c r="D20">
        <f t="shared" si="1"/>
        <v>88854</v>
      </c>
      <c r="E20">
        <f t="shared" si="2"/>
        <v>764.05427400000008</v>
      </c>
      <c r="F20">
        <f t="shared" si="3"/>
        <v>-11.054274000000078</v>
      </c>
      <c r="G20">
        <f t="shared" si="4"/>
        <v>122.19697366707771</v>
      </c>
      <c r="H20">
        <f t="shared" si="5"/>
        <v>-133.16039999999998</v>
      </c>
      <c r="I20">
        <f t="shared" si="6"/>
        <v>17731.692128159993</v>
      </c>
    </row>
    <row r="21" spans="1:9" x14ac:dyDescent="0.3">
      <c r="A21">
        <v>1057</v>
      </c>
      <c r="B21">
        <v>1212</v>
      </c>
      <c r="C21">
        <f t="shared" si="0"/>
        <v>1117249</v>
      </c>
      <c r="D21">
        <f t="shared" si="1"/>
        <v>1281084</v>
      </c>
      <c r="E21">
        <f t="shared" si="2"/>
        <v>1092.0873510000001</v>
      </c>
      <c r="F21">
        <f t="shared" si="3"/>
        <v>119.91264899999987</v>
      </c>
      <c r="G21">
        <f t="shared" si="4"/>
        <v>14379.04339019717</v>
      </c>
      <c r="H21">
        <f t="shared" si="5"/>
        <v>325.83960000000002</v>
      </c>
      <c r="I21">
        <f t="shared" si="6"/>
        <v>106171.44492816001</v>
      </c>
    </row>
    <row r="22" spans="1:9" x14ac:dyDescent="0.3">
      <c r="A22">
        <v>480</v>
      </c>
      <c r="B22">
        <v>578</v>
      </c>
      <c r="C22">
        <f t="shared" si="0"/>
        <v>230400</v>
      </c>
      <c r="D22">
        <f t="shared" si="1"/>
        <v>277440</v>
      </c>
      <c r="E22">
        <f t="shared" si="2"/>
        <v>890.5164400000001</v>
      </c>
      <c r="F22">
        <f t="shared" si="3"/>
        <v>-312.5164400000001</v>
      </c>
      <c r="G22">
        <f t="shared" si="4"/>
        <v>97666.525270273662</v>
      </c>
      <c r="H22">
        <f t="shared" si="5"/>
        <v>-308.16039999999998</v>
      </c>
      <c r="I22">
        <f t="shared" si="6"/>
        <v>94962.832128159993</v>
      </c>
    </row>
    <row r="23" spans="1:9" x14ac:dyDescent="0.3">
      <c r="A23">
        <v>85</v>
      </c>
      <c r="B23">
        <v>777</v>
      </c>
      <c r="C23">
        <f t="shared" si="0"/>
        <v>7225</v>
      </c>
      <c r="D23">
        <f t="shared" si="1"/>
        <v>66045</v>
      </c>
      <c r="E23">
        <f t="shared" si="2"/>
        <v>752.52595500000007</v>
      </c>
      <c r="F23">
        <f t="shared" si="3"/>
        <v>24.474044999999933</v>
      </c>
      <c r="G23">
        <f t="shared" si="4"/>
        <v>598.97887866202166</v>
      </c>
      <c r="H23">
        <f t="shared" si="5"/>
        <v>-109.16039999999998</v>
      </c>
      <c r="I23">
        <f t="shared" si="6"/>
        <v>11915.992928159996</v>
      </c>
    </row>
    <row r="24" spans="1:9" x14ac:dyDescent="0.3">
      <c r="A24">
        <v>3014</v>
      </c>
      <c r="B24">
        <v>1732</v>
      </c>
      <c r="C24">
        <f t="shared" si="0"/>
        <v>9084196</v>
      </c>
      <c r="D24">
        <f t="shared" si="1"/>
        <v>5220248</v>
      </c>
      <c r="E24">
        <f t="shared" si="2"/>
        <v>1775.7516020000003</v>
      </c>
      <c r="F24">
        <f t="shared" si="3"/>
        <v>-43.751602000000275</v>
      </c>
      <c r="G24">
        <f t="shared" si="4"/>
        <v>1914.2026775664281</v>
      </c>
      <c r="H24">
        <f t="shared" si="5"/>
        <v>845.83960000000002</v>
      </c>
      <c r="I24">
        <f t="shared" si="6"/>
        <v>715444.62892816006</v>
      </c>
    </row>
    <row r="25" spans="1:9" x14ac:dyDescent="0.3">
      <c r="A25">
        <v>216</v>
      </c>
      <c r="B25">
        <v>664</v>
      </c>
      <c r="C25">
        <f t="shared" si="0"/>
        <v>46656</v>
      </c>
      <c r="D25">
        <f t="shared" si="1"/>
        <v>143424</v>
      </c>
      <c r="E25">
        <f t="shared" si="2"/>
        <v>798.28988800000002</v>
      </c>
      <c r="F25">
        <f t="shared" si="3"/>
        <v>-134.28988800000002</v>
      </c>
      <c r="G25">
        <f t="shared" si="4"/>
        <v>18033.774019052547</v>
      </c>
      <c r="H25">
        <f t="shared" si="5"/>
        <v>-222.16039999999998</v>
      </c>
      <c r="I25">
        <f t="shared" si="6"/>
        <v>49355.243328159995</v>
      </c>
    </row>
    <row r="26" spans="1:9" x14ac:dyDescent="0.3">
      <c r="A26">
        <v>262</v>
      </c>
      <c r="B26">
        <v>858</v>
      </c>
      <c r="C26">
        <f t="shared" si="0"/>
        <v>68644</v>
      </c>
      <c r="D26">
        <f t="shared" si="1"/>
        <v>224796</v>
      </c>
      <c r="E26">
        <f t="shared" si="2"/>
        <v>814.35966600000006</v>
      </c>
      <c r="F26">
        <f t="shared" si="3"/>
        <v>43.640333999999939</v>
      </c>
      <c r="G26">
        <f t="shared" si="4"/>
        <v>1904.4787516315507</v>
      </c>
      <c r="H26">
        <f t="shared" si="5"/>
        <v>-28.160399999999981</v>
      </c>
      <c r="I26">
        <f t="shared" si="6"/>
        <v>793.00812815999893</v>
      </c>
    </row>
    <row r="27" spans="1:9" x14ac:dyDescent="0.3">
      <c r="A27">
        <v>1152</v>
      </c>
      <c r="B27">
        <v>1092</v>
      </c>
      <c r="C27">
        <f t="shared" si="0"/>
        <v>1327104</v>
      </c>
      <c r="D27">
        <f t="shared" si="1"/>
        <v>1257984</v>
      </c>
      <c r="E27">
        <f t="shared" si="2"/>
        <v>1125.274936</v>
      </c>
      <c r="F27">
        <f t="shared" si="3"/>
        <v>-33.274936000000025</v>
      </c>
      <c r="G27">
        <f t="shared" si="4"/>
        <v>1107.2213658040978</v>
      </c>
      <c r="H27">
        <f t="shared" si="5"/>
        <v>205.83960000000002</v>
      </c>
      <c r="I27">
        <f t="shared" si="6"/>
        <v>42369.940928160009</v>
      </c>
    </row>
    <row r="28" spans="1:9" x14ac:dyDescent="0.3">
      <c r="A28">
        <v>877</v>
      </c>
      <c r="B28">
        <v>749</v>
      </c>
      <c r="C28">
        <f t="shared" si="0"/>
        <v>769129</v>
      </c>
      <c r="D28">
        <f t="shared" si="1"/>
        <v>656873</v>
      </c>
      <c r="E28">
        <f t="shared" si="2"/>
        <v>1029.2056110000001</v>
      </c>
      <c r="F28">
        <f t="shared" si="3"/>
        <v>-280.20561100000009</v>
      </c>
      <c r="G28">
        <f t="shared" si="4"/>
        <v>78515.184435883377</v>
      </c>
      <c r="H28">
        <f t="shared" si="5"/>
        <v>-137.16039999999998</v>
      </c>
      <c r="I28">
        <f t="shared" si="6"/>
        <v>18812.975328159995</v>
      </c>
    </row>
    <row r="29" spans="1:9" x14ac:dyDescent="0.3">
      <c r="A29">
        <v>658</v>
      </c>
      <c r="B29">
        <v>1136</v>
      </c>
      <c r="C29">
        <f t="shared" si="0"/>
        <v>432964</v>
      </c>
      <c r="D29">
        <f t="shared" si="1"/>
        <v>747488</v>
      </c>
      <c r="E29">
        <f t="shared" si="2"/>
        <v>952.69949400000007</v>
      </c>
      <c r="F29">
        <f t="shared" si="3"/>
        <v>183.30050599999993</v>
      </c>
      <c r="G29">
        <f t="shared" si="4"/>
        <v>33599.075499856008</v>
      </c>
      <c r="H29">
        <f t="shared" si="5"/>
        <v>249.83960000000002</v>
      </c>
      <c r="I29">
        <f t="shared" si="6"/>
        <v>62419.825728160009</v>
      </c>
    </row>
    <row r="30" spans="1:9" x14ac:dyDescent="0.3">
      <c r="A30">
        <v>124</v>
      </c>
      <c r="B30">
        <v>1097</v>
      </c>
      <c r="C30">
        <f t="shared" si="0"/>
        <v>15376</v>
      </c>
      <c r="D30">
        <f t="shared" si="1"/>
        <v>136028</v>
      </c>
      <c r="E30">
        <f t="shared" si="2"/>
        <v>766.15033200000005</v>
      </c>
      <c r="F30">
        <f t="shared" si="3"/>
        <v>330.84966799999995</v>
      </c>
      <c r="G30">
        <f t="shared" si="4"/>
        <v>109461.50281571019</v>
      </c>
      <c r="H30">
        <f t="shared" si="5"/>
        <v>210.83960000000002</v>
      </c>
      <c r="I30">
        <f t="shared" si="6"/>
        <v>44453.33692816001</v>
      </c>
    </row>
    <row r="31" spans="1:9" x14ac:dyDescent="0.3">
      <c r="A31">
        <v>1162</v>
      </c>
      <c r="B31">
        <v>926</v>
      </c>
      <c r="C31">
        <f t="shared" si="0"/>
        <v>1350244</v>
      </c>
      <c r="D31">
        <f t="shared" si="1"/>
        <v>1076012</v>
      </c>
      <c r="E31">
        <f t="shared" si="2"/>
        <v>1128.768366</v>
      </c>
      <c r="F31">
        <f t="shared" si="3"/>
        <v>-202.76836600000001</v>
      </c>
      <c r="G31">
        <f t="shared" si="4"/>
        <v>41115.010250309962</v>
      </c>
      <c r="H31">
        <f t="shared" si="5"/>
        <v>39.839600000000019</v>
      </c>
      <c r="I31">
        <f t="shared" si="6"/>
        <v>1587.1937281600015</v>
      </c>
    </row>
    <row r="32" spans="1:9" x14ac:dyDescent="0.3">
      <c r="A32">
        <v>222</v>
      </c>
      <c r="B32">
        <v>890</v>
      </c>
      <c r="C32">
        <f t="shared" si="0"/>
        <v>49284</v>
      </c>
      <c r="D32">
        <f t="shared" si="1"/>
        <v>197580</v>
      </c>
      <c r="E32">
        <f t="shared" si="2"/>
        <v>800.3859460000001</v>
      </c>
      <c r="F32">
        <f t="shared" si="3"/>
        <v>89.614053999999896</v>
      </c>
      <c r="G32">
        <f t="shared" si="4"/>
        <v>8030.6786743148978</v>
      </c>
      <c r="H32">
        <f t="shared" si="5"/>
        <v>3.8396000000000186</v>
      </c>
      <c r="I32">
        <f t="shared" si="6"/>
        <v>14.742528160000143</v>
      </c>
    </row>
    <row r="33" spans="1:9" x14ac:dyDescent="0.3">
      <c r="A33">
        <v>319</v>
      </c>
      <c r="B33">
        <v>500</v>
      </c>
      <c r="C33">
        <f t="shared" si="0"/>
        <v>101761</v>
      </c>
      <c r="D33">
        <f t="shared" si="1"/>
        <v>159500</v>
      </c>
      <c r="E33">
        <f t="shared" si="2"/>
        <v>834.27221700000007</v>
      </c>
      <c r="F33">
        <f t="shared" si="3"/>
        <v>-334.27221700000007</v>
      </c>
      <c r="G33">
        <f t="shared" si="4"/>
        <v>111737.91505809514</v>
      </c>
      <c r="H33">
        <f t="shared" si="5"/>
        <v>-386.16039999999998</v>
      </c>
      <c r="I33">
        <f t="shared" si="6"/>
        <v>149119.85452815998</v>
      </c>
    </row>
    <row r="34" spans="1:9" x14ac:dyDescent="0.3">
      <c r="A34">
        <v>25</v>
      </c>
      <c r="B34">
        <v>908</v>
      </c>
      <c r="C34">
        <f t="shared" si="0"/>
        <v>625</v>
      </c>
      <c r="D34">
        <f t="shared" si="1"/>
        <v>22700</v>
      </c>
      <c r="E34">
        <f t="shared" si="2"/>
        <v>731.56537500000002</v>
      </c>
      <c r="F34">
        <f t="shared" si="3"/>
        <v>176.43462499999998</v>
      </c>
      <c r="G34">
        <f t="shared" si="4"/>
        <v>31129.176898890619</v>
      </c>
      <c r="H34">
        <f t="shared" si="5"/>
        <v>21.839600000000019</v>
      </c>
      <c r="I34">
        <f t="shared" si="6"/>
        <v>476.96812816000079</v>
      </c>
    </row>
    <row r="35" spans="1:9" x14ac:dyDescent="0.3">
      <c r="A35">
        <v>178</v>
      </c>
      <c r="B35">
        <v>636</v>
      </c>
      <c r="C35">
        <f t="shared" si="0"/>
        <v>31684</v>
      </c>
      <c r="D35">
        <f t="shared" si="1"/>
        <v>113208</v>
      </c>
      <c r="E35">
        <f t="shared" si="2"/>
        <v>785.01485400000001</v>
      </c>
      <c r="F35">
        <f t="shared" si="3"/>
        <v>-149.01485400000001</v>
      </c>
      <c r="G35">
        <f t="shared" si="4"/>
        <v>22205.426712641322</v>
      </c>
      <c r="H35">
        <f t="shared" si="5"/>
        <v>-250.16039999999998</v>
      </c>
      <c r="I35">
        <f t="shared" si="6"/>
        <v>62580.225728159989</v>
      </c>
    </row>
    <row r="36" spans="1:9" x14ac:dyDescent="0.3">
      <c r="A36">
        <v>136</v>
      </c>
      <c r="B36">
        <v>606</v>
      </c>
      <c r="C36">
        <f t="shared" si="0"/>
        <v>18496</v>
      </c>
      <c r="D36">
        <f t="shared" si="1"/>
        <v>82416</v>
      </c>
      <c r="E36">
        <f t="shared" si="2"/>
        <v>770.3424480000001</v>
      </c>
      <c r="F36">
        <f t="shared" si="3"/>
        <v>-164.3424480000001</v>
      </c>
      <c r="G36">
        <f t="shared" si="4"/>
        <v>27008.440214632737</v>
      </c>
      <c r="H36">
        <f t="shared" si="5"/>
        <v>-280.16039999999998</v>
      </c>
      <c r="I36">
        <f t="shared" si="6"/>
        <v>78489.849728159985</v>
      </c>
    </row>
    <row r="37" spans="1:9" x14ac:dyDescent="0.3">
      <c r="A37">
        <v>44</v>
      </c>
      <c r="B37">
        <v>919</v>
      </c>
      <c r="C37">
        <f t="shared" si="0"/>
        <v>1936</v>
      </c>
      <c r="D37">
        <f t="shared" si="1"/>
        <v>40436</v>
      </c>
      <c r="E37">
        <f t="shared" si="2"/>
        <v>738.20289200000002</v>
      </c>
      <c r="F37">
        <f t="shared" si="3"/>
        <v>180.79710799999998</v>
      </c>
      <c r="G37">
        <f t="shared" si="4"/>
        <v>32687.594261163656</v>
      </c>
      <c r="H37">
        <f t="shared" si="5"/>
        <v>32.839600000000019</v>
      </c>
      <c r="I37">
        <f t="shared" si="6"/>
        <v>1078.4393281600012</v>
      </c>
    </row>
    <row r="38" spans="1:9" x14ac:dyDescent="0.3">
      <c r="A38">
        <v>687</v>
      </c>
      <c r="B38">
        <v>1240</v>
      </c>
      <c r="C38">
        <f t="shared" si="0"/>
        <v>471969</v>
      </c>
      <c r="D38">
        <f t="shared" si="1"/>
        <v>851880</v>
      </c>
      <c r="E38">
        <f t="shared" si="2"/>
        <v>962.83044100000006</v>
      </c>
      <c r="F38">
        <f t="shared" si="3"/>
        <v>277.16955899999994</v>
      </c>
      <c r="G38">
        <f t="shared" si="4"/>
        <v>76822.96443625445</v>
      </c>
      <c r="H38">
        <f t="shared" si="5"/>
        <v>353.83960000000002</v>
      </c>
      <c r="I38">
        <f t="shared" si="6"/>
        <v>125202.46252816002</v>
      </c>
    </row>
    <row r="39" spans="1:9" x14ac:dyDescent="0.3">
      <c r="A39">
        <v>97</v>
      </c>
      <c r="B39">
        <v>518</v>
      </c>
      <c r="C39">
        <f t="shared" si="0"/>
        <v>9409</v>
      </c>
      <c r="D39">
        <f t="shared" si="1"/>
        <v>50246</v>
      </c>
      <c r="E39">
        <f t="shared" si="2"/>
        <v>756.71807100000001</v>
      </c>
      <c r="F39">
        <f t="shared" si="3"/>
        <v>-238.71807100000001</v>
      </c>
      <c r="G39">
        <f t="shared" si="4"/>
        <v>56986.317421961045</v>
      </c>
      <c r="H39">
        <f t="shared" si="5"/>
        <v>-368.16039999999998</v>
      </c>
      <c r="I39">
        <f t="shared" si="6"/>
        <v>135542.08012815999</v>
      </c>
    </row>
    <row r="40" spans="1:9" x14ac:dyDescent="0.3">
      <c r="A40">
        <v>99</v>
      </c>
      <c r="B40">
        <v>760</v>
      </c>
      <c r="C40">
        <f t="shared" si="0"/>
        <v>9801</v>
      </c>
      <c r="D40">
        <f t="shared" si="1"/>
        <v>75240</v>
      </c>
      <c r="E40">
        <f t="shared" si="2"/>
        <v>757.41675700000008</v>
      </c>
      <c r="F40">
        <f t="shared" si="3"/>
        <v>2.5832429999999249</v>
      </c>
      <c r="G40">
        <f t="shared" si="4"/>
        <v>6.6731443970486124</v>
      </c>
      <c r="H40">
        <f t="shared" si="5"/>
        <v>-126.16039999999998</v>
      </c>
      <c r="I40">
        <f t="shared" si="6"/>
        <v>15916.446528159995</v>
      </c>
    </row>
    <row r="41" spans="1:9" x14ac:dyDescent="0.3">
      <c r="A41">
        <v>591</v>
      </c>
      <c r="B41">
        <v>1051</v>
      </c>
      <c r="C41">
        <f t="shared" si="0"/>
        <v>349281</v>
      </c>
      <c r="D41">
        <f t="shared" si="1"/>
        <v>621141</v>
      </c>
      <c r="E41">
        <f t="shared" si="2"/>
        <v>929.29351300000008</v>
      </c>
      <c r="F41">
        <f t="shared" si="3"/>
        <v>121.70648699999992</v>
      </c>
      <c r="G41">
        <f t="shared" si="4"/>
        <v>14812.46897788115</v>
      </c>
      <c r="H41">
        <f t="shared" si="5"/>
        <v>164.83960000000002</v>
      </c>
      <c r="I41">
        <f t="shared" si="6"/>
        <v>27172.093728160005</v>
      </c>
    </row>
    <row r="42" spans="1:9" x14ac:dyDescent="0.3">
      <c r="A42">
        <v>139</v>
      </c>
      <c r="B42">
        <v>881</v>
      </c>
      <c r="C42">
        <f t="shared" si="0"/>
        <v>19321</v>
      </c>
      <c r="D42">
        <f t="shared" si="1"/>
        <v>122459</v>
      </c>
      <c r="E42">
        <f t="shared" si="2"/>
        <v>771.39047700000003</v>
      </c>
      <c r="F42">
        <f t="shared" si="3"/>
        <v>109.60952299999997</v>
      </c>
      <c r="G42">
        <f t="shared" si="4"/>
        <v>12014.247532287522</v>
      </c>
      <c r="H42">
        <f t="shared" si="5"/>
        <v>-5.1603999999999814</v>
      </c>
      <c r="I42">
        <f t="shared" si="6"/>
        <v>26.629728159999807</v>
      </c>
    </row>
    <row r="43" spans="1:9" x14ac:dyDescent="0.3">
      <c r="A43">
        <v>651</v>
      </c>
      <c r="B43">
        <v>1307</v>
      </c>
      <c r="C43">
        <f t="shared" si="0"/>
        <v>423801</v>
      </c>
      <c r="D43">
        <f t="shared" si="1"/>
        <v>850857</v>
      </c>
      <c r="E43">
        <f t="shared" si="2"/>
        <v>950.25409300000001</v>
      </c>
      <c r="F43">
        <f t="shared" si="3"/>
        <v>356.74590699999999</v>
      </c>
      <c r="G43">
        <f t="shared" si="4"/>
        <v>127267.64216125265</v>
      </c>
      <c r="H43">
        <f t="shared" si="5"/>
        <v>420.83960000000002</v>
      </c>
      <c r="I43">
        <f t="shared" si="6"/>
        <v>177105.96892816003</v>
      </c>
    </row>
    <row r="44" spans="1:9" x14ac:dyDescent="0.3">
      <c r="A44">
        <v>805</v>
      </c>
      <c r="B44">
        <v>1005</v>
      </c>
      <c r="C44">
        <f t="shared" si="0"/>
        <v>648025</v>
      </c>
      <c r="D44">
        <f t="shared" si="1"/>
        <v>809025</v>
      </c>
      <c r="E44">
        <f t="shared" si="2"/>
        <v>1004.052915</v>
      </c>
      <c r="F44">
        <f t="shared" si="3"/>
        <v>0.9470850000000155</v>
      </c>
      <c r="G44">
        <f t="shared" si="4"/>
        <v>0.89696999722502935</v>
      </c>
      <c r="H44">
        <f t="shared" si="5"/>
        <v>118.83960000000002</v>
      </c>
      <c r="I44">
        <f t="shared" si="6"/>
        <v>14122.850528160005</v>
      </c>
    </row>
    <row r="45" spans="1:9" x14ac:dyDescent="0.3">
      <c r="A45">
        <v>247</v>
      </c>
      <c r="B45">
        <v>666</v>
      </c>
      <c r="C45">
        <f t="shared" si="0"/>
        <v>61009</v>
      </c>
      <c r="D45">
        <f t="shared" si="1"/>
        <v>164502</v>
      </c>
      <c r="E45">
        <f t="shared" si="2"/>
        <v>809.11952100000008</v>
      </c>
      <c r="F45">
        <f t="shared" si="3"/>
        <v>-143.11952100000008</v>
      </c>
      <c r="G45">
        <f t="shared" si="4"/>
        <v>20483.197291269462</v>
      </c>
      <c r="H45">
        <f t="shared" si="5"/>
        <v>-220.16039999999998</v>
      </c>
      <c r="I45">
        <f t="shared" si="6"/>
        <v>48470.601728159992</v>
      </c>
    </row>
    <row r="46" spans="1:9" x14ac:dyDescent="0.3">
      <c r="A46">
        <v>82</v>
      </c>
      <c r="B46">
        <v>777</v>
      </c>
      <c r="C46">
        <f t="shared" si="0"/>
        <v>6724</v>
      </c>
      <c r="D46">
        <f t="shared" si="1"/>
        <v>63714</v>
      </c>
      <c r="E46">
        <f t="shared" si="2"/>
        <v>751.47792600000002</v>
      </c>
      <c r="F46">
        <f t="shared" si="3"/>
        <v>25.522073999999975</v>
      </c>
      <c r="G46">
        <f t="shared" si="4"/>
        <v>651.37626126147472</v>
      </c>
      <c r="H46">
        <f t="shared" si="5"/>
        <v>-109.16039999999998</v>
      </c>
      <c r="I46">
        <f t="shared" si="6"/>
        <v>11915.992928159996</v>
      </c>
    </row>
    <row r="47" spans="1:9" x14ac:dyDescent="0.3">
      <c r="A47">
        <v>62</v>
      </c>
      <c r="B47">
        <v>533</v>
      </c>
      <c r="C47">
        <f t="shared" si="0"/>
        <v>3844</v>
      </c>
      <c r="D47">
        <f t="shared" si="1"/>
        <v>33046</v>
      </c>
      <c r="E47">
        <f t="shared" si="2"/>
        <v>744.49106600000005</v>
      </c>
      <c r="F47">
        <f t="shared" si="3"/>
        <v>-211.49106600000005</v>
      </c>
      <c r="G47">
        <f t="shared" si="4"/>
        <v>44728.470997816374</v>
      </c>
      <c r="H47">
        <f t="shared" si="5"/>
        <v>-353.16039999999998</v>
      </c>
      <c r="I47">
        <f t="shared" si="6"/>
        <v>124722.26812815998</v>
      </c>
    </row>
    <row r="48" spans="1:9" x14ac:dyDescent="0.3">
      <c r="A48">
        <v>101</v>
      </c>
      <c r="B48">
        <v>581</v>
      </c>
      <c r="C48">
        <f t="shared" si="0"/>
        <v>10201</v>
      </c>
      <c r="D48">
        <f t="shared" si="1"/>
        <v>58681</v>
      </c>
      <c r="E48">
        <f t="shared" si="2"/>
        <v>758.11544300000003</v>
      </c>
      <c r="F48">
        <f t="shared" si="3"/>
        <v>-177.11544300000003</v>
      </c>
      <c r="G48">
        <f t="shared" si="4"/>
        <v>31369.880149086257</v>
      </c>
      <c r="H48">
        <f t="shared" si="5"/>
        <v>-305.16039999999998</v>
      </c>
      <c r="I48">
        <f t="shared" si="6"/>
        <v>93122.869728159989</v>
      </c>
    </row>
    <row r="49" spans="1:9" x14ac:dyDescent="0.3">
      <c r="A49">
        <v>353</v>
      </c>
      <c r="B49">
        <v>1022</v>
      </c>
      <c r="C49">
        <f t="shared" si="0"/>
        <v>124609</v>
      </c>
      <c r="D49">
        <f t="shared" si="1"/>
        <v>360766</v>
      </c>
      <c r="E49">
        <f t="shared" si="2"/>
        <v>846.14987900000006</v>
      </c>
      <c r="F49">
        <f t="shared" si="3"/>
        <v>175.85012099999994</v>
      </c>
      <c r="G49">
        <f t="shared" si="4"/>
        <v>30923.265055714623</v>
      </c>
      <c r="H49">
        <f t="shared" si="5"/>
        <v>135.83960000000002</v>
      </c>
      <c r="I49">
        <f t="shared" si="6"/>
        <v>18452.396928160004</v>
      </c>
    </row>
    <row r="50" spans="1:9" x14ac:dyDescent="0.3">
      <c r="A50">
        <v>854</v>
      </c>
      <c r="B50">
        <v>1364</v>
      </c>
      <c r="C50">
        <f t="shared" si="0"/>
        <v>729316</v>
      </c>
      <c r="D50">
        <f t="shared" si="1"/>
        <v>1164856</v>
      </c>
      <c r="E50">
        <f t="shared" si="2"/>
        <v>1021.1707220000001</v>
      </c>
      <c r="F50">
        <f t="shared" si="3"/>
        <v>342.82927799999993</v>
      </c>
      <c r="G50">
        <f t="shared" si="4"/>
        <v>117531.91385400124</v>
      </c>
      <c r="H50">
        <f t="shared" si="5"/>
        <v>477.83960000000002</v>
      </c>
      <c r="I50">
        <f t="shared" si="6"/>
        <v>228330.68332816003</v>
      </c>
    </row>
    <row r="51" spans="1:9" x14ac:dyDescent="0.3">
      <c r="A51">
        <v>371</v>
      </c>
      <c r="B51">
        <v>934</v>
      </c>
      <c r="C51">
        <f t="shared" si="0"/>
        <v>137641</v>
      </c>
      <c r="D51">
        <f t="shared" si="1"/>
        <v>346514</v>
      </c>
      <c r="E51">
        <f t="shared" si="2"/>
        <v>852.43805300000008</v>
      </c>
      <c r="F51">
        <f t="shared" si="3"/>
        <v>81.561946999999918</v>
      </c>
      <c r="G51">
        <f t="shared" si="4"/>
        <v>6652.3511984307961</v>
      </c>
      <c r="H51">
        <f t="shared" si="5"/>
        <v>47.839600000000019</v>
      </c>
      <c r="I51">
        <f t="shared" si="6"/>
        <v>2288.627328160002</v>
      </c>
    </row>
    <row r="52" spans="1:9" x14ac:dyDescent="0.3">
      <c r="A52">
        <v>124</v>
      </c>
      <c r="B52">
        <v>474</v>
      </c>
      <c r="C52">
        <f t="shared" si="0"/>
        <v>15376</v>
      </c>
      <c r="D52">
        <f t="shared" si="1"/>
        <v>58776</v>
      </c>
      <c r="E52">
        <f t="shared" si="2"/>
        <v>766.15033200000005</v>
      </c>
      <c r="F52">
        <f t="shared" si="3"/>
        <v>-292.15033200000005</v>
      </c>
      <c r="G52">
        <f t="shared" si="4"/>
        <v>85351.816487710254</v>
      </c>
      <c r="H52">
        <f t="shared" si="5"/>
        <v>-412.16039999999998</v>
      </c>
      <c r="I52">
        <f t="shared" si="6"/>
        <v>169876.19532815999</v>
      </c>
    </row>
    <row r="53" spans="1:9" x14ac:dyDescent="0.3">
      <c r="A53">
        <v>195</v>
      </c>
      <c r="B53">
        <v>853</v>
      </c>
      <c r="C53">
        <f t="shared" si="0"/>
        <v>38025</v>
      </c>
      <c r="D53">
        <f t="shared" si="1"/>
        <v>166335</v>
      </c>
      <c r="E53">
        <f t="shared" si="2"/>
        <v>790.95368500000006</v>
      </c>
      <c r="F53">
        <f t="shared" si="3"/>
        <v>62.046314999999936</v>
      </c>
      <c r="G53">
        <f t="shared" si="4"/>
        <v>3849.7452050792172</v>
      </c>
      <c r="H53">
        <f t="shared" si="5"/>
        <v>-33.160399999999981</v>
      </c>
      <c r="I53">
        <f t="shared" si="6"/>
        <v>1099.6121281599987</v>
      </c>
    </row>
    <row r="54" spans="1:9" x14ac:dyDescent="0.3">
      <c r="A54">
        <v>169</v>
      </c>
      <c r="B54">
        <v>706</v>
      </c>
      <c r="C54">
        <f t="shared" si="0"/>
        <v>28561</v>
      </c>
      <c r="D54">
        <f t="shared" si="1"/>
        <v>119314</v>
      </c>
      <c r="E54">
        <f t="shared" si="2"/>
        <v>781.870767</v>
      </c>
      <c r="F54">
        <f t="shared" si="3"/>
        <v>-75.870767000000001</v>
      </c>
      <c r="G54">
        <f t="shared" si="4"/>
        <v>5756.3732851682889</v>
      </c>
      <c r="H54">
        <f t="shared" si="5"/>
        <v>-180.16039999999998</v>
      </c>
      <c r="I54">
        <f t="shared" si="6"/>
        <v>32457.769728159994</v>
      </c>
    </row>
    <row r="55" spans="1:9" x14ac:dyDescent="0.3">
      <c r="A55">
        <v>385</v>
      </c>
      <c r="B55">
        <v>1464</v>
      </c>
      <c r="C55">
        <f t="shared" si="0"/>
        <v>148225</v>
      </c>
      <c r="D55">
        <f t="shared" si="1"/>
        <v>563640</v>
      </c>
      <c r="E55">
        <f t="shared" si="2"/>
        <v>857.32885500000009</v>
      </c>
      <c r="F55">
        <f t="shared" si="3"/>
        <v>606.67114499999991</v>
      </c>
      <c r="G55">
        <f t="shared" si="4"/>
        <v>368049.87817561091</v>
      </c>
      <c r="H55">
        <f t="shared" si="5"/>
        <v>577.83960000000002</v>
      </c>
      <c r="I55">
        <f t="shared" si="6"/>
        <v>333898.60332816001</v>
      </c>
    </row>
    <row r="56" spans="1:9" x14ac:dyDescent="0.3">
      <c r="A56">
        <v>328</v>
      </c>
      <c r="B56">
        <v>869</v>
      </c>
      <c r="C56">
        <f t="shared" si="0"/>
        <v>107584</v>
      </c>
      <c r="D56">
        <f t="shared" si="1"/>
        <v>285032</v>
      </c>
      <c r="E56">
        <f t="shared" si="2"/>
        <v>837.41630400000008</v>
      </c>
      <c r="F56">
        <f t="shared" si="3"/>
        <v>31.583695999999918</v>
      </c>
      <c r="G56">
        <f t="shared" si="4"/>
        <v>997.52985302041077</v>
      </c>
      <c r="H56">
        <f t="shared" si="5"/>
        <v>-17.160399999999981</v>
      </c>
      <c r="I56">
        <f t="shared" si="6"/>
        <v>294.47932815999934</v>
      </c>
    </row>
    <row r="57" spans="1:9" x14ac:dyDescent="0.3">
      <c r="A57">
        <v>168</v>
      </c>
      <c r="B57">
        <v>1195</v>
      </c>
      <c r="C57">
        <f t="shared" si="0"/>
        <v>28224</v>
      </c>
      <c r="D57">
        <f t="shared" si="1"/>
        <v>200760</v>
      </c>
      <c r="E57">
        <f t="shared" si="2"/>
        <v>781.52142400000002</v>
      </c>
      <c r="F57">
        <f t="shared" si="3"/>
        <v>413.47857599999998</v>
      </c>
      <c r="G57">
        <f t="shared" si="4"/>
        <v>170964.53281098776</v>
      </c>
      <c r="H57">
        <f t="shared" si="5"/>
        <v>308.83960000000002</v>
      </c>
      <c r="I57">
        <f t="shared" si="6"/>
        <v>95381.898528160018</v>
      </c>
    </row>
    <row r="58" spans="1:9" x14ac:dyDescent="0.3">
      <c r="A58">
        <v>450</v>
      </c>
      <c r="B58">
        <v>776</v>
      </c>
      <c r="C58">
        <f t="shared" si="0"/>
        <v>202500</v>
      </c>
      <c r="D58">
        <f t="shared" si="1"/>
        <v>349200</v>
      </c>
      <c r="E58">
        <f t="shared" si="2"/>
        <v>880.03615000000002</v>
      </c>
      <c r="F58">
        <f t="shared" si="3"/>
        <v>-104.03615000000002</v>
      </c>
      <c r="G58">
        <f t="shared" si="4"/>
        <v>10823.520506822504</v>
      </c>
      <c r="H58">
        <f t="shared" si="5"/>
        <v>-110.16039999999998</v>
      </c>
      <c r="I58">
        <f t="shared" si="6"/>
        <v>12135.313728159996</v>
      </c>
    </row>
    <row r="59" spans="1:9" x14ac:dyDescent="0.3">
      <c r="A59">
        <v>130</v>
      </c>
      <c r="B59">
        <v>1003</v>
      </c>
      <c r="C59">
        <f t="shared" si="0"/>
        <v>16900</v>
      </c>
      <c r="D59">
        <f t="shared" si="1"/>
        <v>130390</v>
      </c>
      <c r="E59">
        <f t="shared" si="2"/>
        <v>768.24639000000002</v>
      </c>
      <c r="F59">
        <f t="shared" si="3"/>
        <v>234.75360999999998</v>
      </c>
      <c r="G59">
        <f t="shared" si="4"/>
        <v>55109.257408032092</v>
      </c>
      <c r="H59">
        <f t="shared" si="5"/>
        <v>116.83960000000002</v>
      </c>
      <c r="I59">
        <f t="shared" si="6"/>
        <v>13651.492128160004</v>
      </c>
    </row>
    <row r="60" spans="1:9" x14ac:dyDescent="0.3">
      <c r="A60">
        <v>10</v>
      </c>
      <c r="B60">
        <v>789</v>
      </c>
      <c r="C60">
        <f t="shared" si="0"/>
        <v>100</v>
      </c>
      <c r="D60">
        <f t="shared" si="1"/>
        <v>7890</v>
      </c>
      <c r="E60">
        <f t="shared" si="2"/>
        <v>726.32523000000003</v>
      </c>
      <c r="F60">
        <f t="shared" si="3"/>
        <v>62.674769999999967</v>
      </c>
      <c r="G60">
        <f t="shared" si="4"/>
        <v>3928.1267945528957</v>
      </c>
      <c r="H60">
        <f t="shared" si="5"/>
        <v>-97.160399999999981</v>
      </c>
      <c r="I60">
        <f t="shared" si="6"/>
        <v>9440.1433281599966</v>
      </c>
    </row>
    <row r="61" spans="1:9" x14ac:dyDescent="0.3">
      <c r="A61">
        <v>569</v>
      </c>
      <c r="B61">
        <v>835</v>
      </c>
      <c r="C61">
        <f t="shared" si="0"/>
        <v>323761</v>
      </c>
      <c r="D61">
        <f t="shared" si="1"/>
        <v>475115</v>
      </c>
      <c r="E61">
        <f t="shared" si="2"/>
        <v>921.60796700000003</v>
      </c>
      <c r="F61">
        <f t="shared" si="3"/>
        <v>-86.607967000000031</v>
      </c>
      <c r="G61">
        <f t="shared" si="4"/>
        <v>7500.9399478730938</v>
      </c>
      <c r="H61">
        <f t="shared" si="5"/>
        <v>-51.160399999999981</v>
      </c>
      <c r="I61">
        <f t="shared" si="6"/>
        <v>2617.3865281599983</v>
      </c>
    </row>
    <row r="62" spans="1:9" x14ac:dyDescent="0.3">
      <c r="A62">
        <v>419</v>
      </c>
      <c r="B62">
        <v>920</v>
      </c>
      <c r="C62">
        <f t="shared" si="0"/>
        <v>175561</v>
      </c>
      <c r="D62">
        <f t="shared" si="1"/>
        <v>385480</v>
      </c>
      <c r="E62">
        <f t="shared" si="2"/>
        <v>869.20651700000008</v>
      </c>
      <c r="F62">
        <f t="shared" si="3"/>
        <v>50.793482999999924</v>
      </c>
      <c r="G62">
        <f t="shared" si="4"/>
        <v>2579.9779152712813</v>
      </c>
      <c r="H62">
        <f t="shared" si="5"/>
        <v>33.839600000000019</v>
      </c>
      <c r="I62">
        <f t="shared" si="6"/>
        <v>1145.1185281600012</v>
      </c>
    </row>
    <row r="63" spans="1:9" x14ac:dyDescent="0.3">
      <c r="A63">
        <v>2</v>
      </c>
      <c r="B63">
        <v>494</v>
      </c>
      <c r="C63">
        <f t="shared" si="0"/>
        <v>4</v>
      </c>
      <c r="D63">
        <f t="shared" si="1"/>
        <v>988</v>
      </c>
      <c r="E63">
        <f t="shared" si="2"/>
        <v>723.530486</v>
      </c>
      <c r="F63">
        <f t="shared" si="3"/>
        <v>-229.530486</v>
      </c>
      <c r="G63">
        <f t="shared" si="4"/>
        <v>52684.244003396198</v>
      </c>
      <c r="H63">
        <f t="shared" si="5"/>
        <v>-392.16039999999998</v>
      </c>
      <c r="I63">
        <f t="shared" si="6"/>
        <v>153789.77932815999</v>
      </c>
    </row>
    <row r="64" spans="1:9" x14ac:dyDescent="0.3">
      <c r="A64">
        <v>4</v>
      </c>
      <c r="B64">
        <v>289</v>
      </c>
      <c r="C64">
        <f t="shared" si="0"/>
        <v>16</v>
      </c>
      <c r="D64">
        <f t="shared" si="1"/>
        <v>1156</v>
      </c>
      <c r="E64">
        <f t="shared" si="2"/>
        <v>724.22917200000006</v>
      </c>
      <c r="F64">
        <f t="shared" si="3"/>
        <v>-435.22917200000006</v>
      </c>
      <c r="G64">
        <f t="shared" si="4"/>
        <v>189424.43215980564</v>
      </c>
      <c r="H64">
        <f t="shared" si="5"/>
        <v>-597.16039999999998</v>
      </c>
      <c r="I64">
        <f t="shared" si="6"/>
        <v>356600.54332815995</v>
      </c>
    </row>
    <row r="65" spans="1:9" x14ac:dyDescent="0.3">
      <c r="A65">
        <v>606</v>
      </c>
      <c r="B65">
        <v>1000</v>
      </c>
      <c r="C65">
        <f t="shared" si="0"/>
        <v>367236</v>
      </c>
      <c r="D65">
        <f t="shared" si="1"/>
        <v>606000</v>
      </c>
      <c r="E65">
        <f t="shared" si="2"/>
        <v>934.53365800000006</v>
      </c>
      <c r="F65">
        <f t="shared" si="3"/>
        <v>65.466341999999941</v>
      </c>
      <c r="G65">
        <f t="shared" si="4"/>
        <v>4285.8419348609559</v>
      </c>
      <c r="H65">
        <f t="shared" si="5"/>
        <v>113.83960000000002</v>
      </c>
      <c r="I65">
        <f t="shared" si="6"/>
        <v>12959.454528160004</v>
      </c>
    </row>
    <row r="66" spans="1:9" x14ac:dyDescent="0.3">
      <c r="A66">
        <v>144</v>
      </c>
      <c r="B66">
        <v>274</v>
      </c>
      <c r="C66">
        <f t="shared" si="0"/>
        <v>20736</v>
      </c>
      <c r="D66">
        <f t="shared" si="1"/>
        <v>39456</v>
      </c>
      <c r="E66">
        <f t="shared" si="2"/>
        <v>773.13719200000003</v>
      </c>
      <c r="F66">
        <f t="shared" si="3"/>
        <v>-499.13719200000003</v>
      </c>
      <c r="G66">
        <f t="shared" si="4"/>
        <v>249137.93643764488</v>
      </c>
      <c r="H66">
        <f t="shared" si="5"/>
        <v>-612.16039999999998</v>
      </c>
      <c r="I66">
        <f t="shared" si="6"/>
        <v>374740.35532815999</v>
      </c>
    </row>
    <row r="67" spans="1:9" x14ac:dyDescent="0.3">
      <c r="A67">
        <v>1085</v>
      </c>
      <c r="B67">
        <v>1430</v>
      </c>
      <c r="C67">
        <f t="shared" ref="C67:C130" si="7">PRODUCT(A67,A67)</f>
        <v>1177225</v>
      </c>
      <c r="D67">
        <f t="shared" ref="D67:D130" si="8">PRODUCT(A67,B67)</f>
        <v>1551550</v>
      </c>
      <c r="E67">
        <f t="shared" ref="E67:E130" si="9">722.8318+PRODUCT(0.349343,A67)</f>
        <v>1101.8689550000001</v>
      </c>
      <c r="F67">
        <f t="shared" ref="F67:F130" si="10">B67-E67</f>
        <v>328.13104499999986</v>
      </c>
      <c r="G67">
        <f t="shared" ref="G67:G130" si="11">PRODUCT(F67,F67)</f>
        <v>107669.98269279193</v>
      </c>
      <c r="H67">
        <f t="shared" ref="H67:H130" si="12">B67-886.1604</f>
        <v>543.83960000000002</v>
      </c>
      <c r="I67">
        <f t="shared" ref="I67:I130" si="13">PRODUCT(H67,H67)</f>
        <v>295761.51052816003</v>
      </c>
    </row>
    <row r="68" spans="1:9" x14ac:dyDescent="0.3">
      <c r="A68">
        <v>269</v>
      </c>
      <c r="B68">
        <v>687</v>
      </c>
      <c r="C68">
        <f t="shared" si="7"/>
        <v>72361</v>
      </c>
      <c r="D68">
        <f t="shared" si="8"/>
        <v>184803</v>
      </c>
      <c r="E68">
        <f t="shared" si="9"/>
        <v>816.80506700000001</v>
      </c>
      <c r="F68">
        <f t="shared" si="10"/>
        <v>-129.80506700000001</v>
      </c>
      <c r="G68">
        <f t="shared" si="11"/>
        <v>16849.355418874493</v>
      </c>
      <c r="H68">
        <f t="shared" si="12"/>
        <v>-199.16039999999998</v>
      </c>
      <c r="I68">
        <f t="shared" si="13"/>
        <v>39664.864928159994</v>
      </c>
    </row>
    <row r="69" spans="1:9" x14ac:dyDescent="0.3">
      <c r="A69">
        <v>186</v>
      </c>
      <c r="B69">
        <v>747</v>
      </c>
      <c r="C69">
        <f t="shared" si="7"/>
        <v>34596</v>
      </c>
      <c r="D69">
        <f t="shared" si="8"/>
        <v>138942</v>
      </c>
      <c r="E69">
        <f t="shared" si="9"/>
        <v>787.80959800000005</v>
      </c>
      <c r="F69">
        <f t="shared" si="10"/>
        <v>-40.809598000000051</v>
      </c>
      <c r="G69">
        <f t="shared" si="11"/>
        <v>1665.4232889216082</v>
      </c>
      <c r="H69">
        <f t="shared" si="12"/>
        <v>-139.16039999999998</v>
      </c>
      <c r="I69">
        <f t="shared" si="13"/>
        <v>19365.616928159994</v>
      </c>
    </row>
    <row r="70" spans="1:9" x14ac:dyDescent="0.3">
      <c r="A70">
        <v>1630</v>
      </c>
      <c r="B70">
        <v>1504</v>
      </c>
      <c r="C70">
        <f t="shared" si="7"/>
        <v>2656900</v>
      </c>
      <c r="D70">
        <f t="shared" si="8"/>
        <v>2451520</v>
      </c>
      <c r="E70">
        <f t="shared" si="9"/>
        <v>1292.26089</v>
      </c>
      <c r="F70">
        <f t="shared" si="10"/>
        <v>211.73910999999998</v>
      </c>
      <c r="G70">
        <f t="shared" si="11"/>
        <v>44833.450703592091</v>
      </c>
      <c r="H70">
        <f t="shared" si="12"/>
        <v>617.83960000000002</v>
      </c>
      <c r="I70">
        <f t="shared" si="13"/>
        <v>381725.77132816002</v>
      </c>
    </row>
    <row r="71" spans="1:9" x14ac:dyDescent="0.3">
      <c r="A71">
        <v>827</v>
      </c>
      <c r="B71">
        <v>1374</v>
      </c>
      <c r="C71">
        <f t="shared" si="7"/>
        <v>683929</v>
      </c>
      <c r="D71">
        <f t="shared" si="8"/>
        <v>1136298</v>
      </c>
      <c r="E71">
        <f t="shared" si="9"/>
        <v>1011.738461</v>
      </c>
      <c r="F71">
        <f t="shared" si="10"/>
        <v>362.26153899999997</v>
      </c>
      <c r="G71">
        <f t="shared" si="11"/>
        <v>131233.42263864851</v>
      </c>
      <c r="H71">
        <f t="shared" si="12"/>
        <v>487.83960000000002</v>
      </c>
      <c r="I71">
        <f t="shared" si="13"/>
        <v>237987.47532816001</v>
      </c>
    </row>
    <row r="72" spans="1:9" x14ac:dyDescent="0.3">
      <c r="A72">
        <v>58</v>
      </c>
      <c r="B72">
        <v>683</v>
      </c>
      <c r="C72">
        <f t="shared" si="7"/>
        <v>3364</v>
      </c>
      <c r="D72">
        <f t="shared" si="8"/>
        <v>39614</v>
      </c>
      <c r="E72">
        <f t="shared" si="9"/>
        <v>743.09369400000003</v>
      </c>
      <c r="F72">
        <f t="shared" si="10"/>
        <v>-60.093694000000028</v>
      </c>
      <c r="G72">
        <f t="shared" si="11"/>
        <v>3611.2520585656393</v>
      </c>
      <c r="H72">
        <f t="shared" si="12"/>
        <v>-203.16039999999998</v>
      </c>
      <c r="I72">
        <f t="shared" si="13"/>
        <v>41274.148128159992</v>
      </c>
    </row>
    <row r="73" spans="1:9" x14ac:dyDescent="0.3">
      <c r="A73">
        <v>89</v>
      </c>
      <c r="B73">
        <v>237</v>
      </c>
      <c r="C73">
        <f t="shared" si="7"/>
        <v>7921</v>
      </c>
      <c r="D73">
        <f t="shared" si="8"/>
        <v>21093</v>
      </c>
      <c r="E73">
        <f t="shared" si="9"/>
        <v>753.92332700000009</v>
      </c>
      <c r="F73">
        <f t="shared" si="10"/>
        <v>-516.92332700000009</v>
      </c>
      <c r="G73">
        <f t="shared" si="11"/>
        <v>267209.72599674901</v>
      </c>
      <c r="H73">
        <f t="shared" si="12"/>
        <v>-649.16039999999998</v>
      </c>
      <c r="I73">
        <f t="shared" si="13"/>
        <v>421409.22492815997</v>
      </c>
    </row>
    <row r="74" spans="1:9" x14ac:dyDescent="0.3">
      <c r="A74">
        <v>335</v>
      </c>
      <c r="B74">
        <v>1353</v>
      </c>
      <c r="C74">
        <f t="shared" si="7"/>
        <v>112225</v>
      </c>
      <c r="D74">
        <f t="shared" si="8"/>
        <v>453255</v>
      </c>
      <c r="E74">
        <f t="shared" si="9"/>
        <v>839.86170500000003</v>
      </c>
      <c r="F74">
        <f t="shared" si="10"/>
        <v>513.13829499999997</v>
      </c>
      <c r="G74">
        <f t="shared" si="11"/>
        <v>263310.90979550697</v>
      </c>
      <c r="H74">
        <f t="shared" si="12"/>
        <v>466.83960000000002</v>
      </c>
      <c r="I74">
        <f t="shared" si="13"/>
        <v>217939.21212816003</v>
      </c>
    </row>
    <row r="75" spans="1:9" x14ac:dyDescent="0.3">
      <c r="A75">
        <v>496</v>
      </c>
      <c r="B75">
        <v>1142</v>
      </c>
      <c r="C75">
        <f t="shared" si="7"/>
        <v>246016</v>
      </c>
      <c r="D75">
        <f t="shared" si="8"/>
        <v>566432</v>
      </c>
      <c r="E75">
        <f t="shared" si="9"/>
        <v>896.10592800000006</v>
      </c>
      <c r="F75">
        <f t="shared" si="10"/>
        <v>245.89407199999994</v>
      </c>
      <c r="G75">
        <f t="shared" si="11"/>
        <v>60463.894644741151</v>
      </c>
      <c r="H75">
        <f t="shared" si="12"/>
        <v>255.83960000000002</v>
      </c>
      <c r="I75">
        <f t="shared" si="13"/>
        <v>65453.900928160008</v>
      </c>
    </row>
    <row r="76" spans="1:9" x14ac:dyDescent="0.3">
      <c r="A76">
        <v>1214</v>
      </c>
      <c r="B76">
        <v>1391</v>
      </c>
      <c r="C76">
        <f t="shared" si="7"/>
        <v>1473796</v>
      </c>
      <c r="D76">
        <f t="shared" si="8"/>
        <v>1688674</v>
      </c>
      <c r="E76">
        <f t="shared" si="9"/>
        <v>1146.9342020000001</v>
      </c>
      <c r="F76">
        <f t="shared" si="10"/>
        <v>244.06579799999986</v>
      </c>
      <c r="G76">
        <f t="shared" si="11"/>
        <v>59568.113753376732</v>
      </c>
      <c r="H76">
        <f t="shared" si="12"/>
        <v>504.83960000000002</v>
      </c>
      <c r="I76">
        <f t="shared" si="13"/>
        <v>254863.02172816001</v>
      </c>
    </row>
    <row r="77" spans="1:9" x14ac:dyDescent="0.3">
      <c r="A77">
        <v>135</v>
      </c>
      <c r="B77">
        <v>756</v>
      </c>
      <c r="C77">
        <f t="shared" si="7"/>
        <v>18225</v>
      </c>
      <c r="D77">
        <f t="shared" si="8"/>
        <v>102060</v>
      </c>
      <c r="E77">
        <f t="shared" si="9"/>
        <v>769.99310500000001</v>
      </c>
      <c r="F77">
        <f t="shared" si="10"/>
        <v>-13.993105000000014</v>
      </c>
      <c r="G77">
        <f t="shared" si="11"/>
        <v>195.80698754102539</v>
      </c>
      <c r="H77">
        <f t="shared" si="12"/>
        <v>-130.16039999999998</v>
      </c>
      <c r="I77">
        <f t="shared" si="13"/>
        <v>16941.729728159997</v>
      </c>
    </row>
    <row r="78" spans="1:9" x14ac:dyDescent="0.3">
      <c r="A78">
        <v>329</v>
      </c>
      <c r="B78">
        <v>1104</v>
      </c>
      <c r="C78">
        <f t="shared" si="7"/>
        <v>108241</v>
      </c>
      <c r="D78">
        <f t="shared" si="8"/>
        <v>363216</v>
      </c>
      <c r="E78">
        <f t="shared" si="9"/>
        <v>837.76564700000006</v>
      </c>
      <c r="F78">
        <f t="shared" si="10"/>
        <v>266.23435299999994</v>
      </c>
      <c r="G78">
        <f t="shared" si="11"/>
        <v>70880.730717328581</v>
      </c>
      <c r="H78">
        <f t="shared" si="12"/>
        <v>217.83960000000002</v>
      </c>
      <c r="I78">
        <f t="shared" si="13"/>
        <v>47454.091328160008</v>
      </c>
    </row>
    <row r="79" spans="1:9" x14ac:dyDescent="0.3">
      <c r="A79">
        <v>468</v>
      </c>
      <c r="B79">
        <v>1076</v>
      </c>
      <c r="C79">
        <f t="shared" si="7"/>
        <v>219024</v>
      </c>
      <c r="D79">
        <f t="shared" si="8"/>
        <v>503568</v>
      </c>
      <c r="E79">
        <f t="shared" si="9"/>
        <v>886.32432400000005</v>
      </c>
      <c r="F79">
        <f t="shared" si="10"/>
        <v>189.67567599999995</v>
      </c>
      <c r="G79">
        <f t="shared" si="11"/>
        <v>35976.862066056958</v>
      </c>
      <c r="H79">
        <f t="shared" si="12"/>
        <v>189.83960000000002</v>
      </c>
      <c r="I79">
        <f t="shared" si="13"/>
        <v>36039.073728160009</v>
      </c>
    </row>
    <row r="80" spans="1:9" x14ac:dyDescent="0.3">
      <c r="A80">
        <v>702</v>
      </c>
      <c r="B80">
        <v>1013</v>
      </c>
      <c r="C80">
        <f t="shared" si="7"/>
        <v>492804</v>
      </c>
      <c r="D80">
        <f t="shared" si="8"/>
        <v>711126</v>
      </c>
      <c r="E80">
        <f t="shared" si="9"/>
        <v>968.07058600000005</v>
      </c>
      <c r="F80">
        <f t="shared" si="10"/>
        <v>44.929413999999952</v>
      </c>
      <c r="G80">
        <f t="shared" si="11"/>
        <v>2018.6522423833917</v>
      </c>
      <c r="H80">
        <f t="shared" si="12"/>
        <v>126.83960000000002</v>
      </c>
      <c r="I80">
        <f t="shared" si="13"/>
        <v>16088.284128160005</v>
      </c>
    </row>
    <row r="81" spans="1:9" x14ac:dyDescent="0.3">
      <c r="A81">
        <v>265</v>
      </c>
      <c r="B81">
        <v>430</v>
      </c>
      <c r="C81">
        <f t="shared" si="7"/>
        <v>70225</v>
      </c>
      <c r="D81">
        <f t="shared" si="8"/>
        <v>113950</v>
      </c>
      <c r="E81">
        <f t="shared" si="9"/>
        <v>815.4076950000001</v>
      </c>
      <c r="F81">
        <f t="shared" si="10"/>
        <v>-385.4076950000001</v>
      </c>
      <c r="G81">
        <f t="shared" si="11"/>
        <v>148539.0913652131</v>
      </c>
      <c r="H81">
        <f t="shared" si="12"/>
        <v>-456.16039999999998</v>
      </c>
      <c r="I81">
        <f t="shared" si="13"/>
        <v>208082.31052815999</v>
      </c>
    </row>
    <row r="82" spans="1:9" x14ac:dyDescent="0.3">
      <c r="A82">
        <v>14</v>
      </c>
      <c r="B82">
        <v>474</v>
      </c>
      <c r="C82">
        <f t="shared" si="7"/>
        <v>196</v>
      </c>
      <c r="D82">
        <f t="shared" si="8"/>
        <v>6636</v>
      </c>
      <c r="E82">
        <f t="shared" si="9"/>
        <v>727.72260200000005</v>
      </c>
      <c r="F82">
        <f t="shared" si="10"/>
        <v>-253.72260200000005</v>
      </c>
      <c r="G82">
        <f t="shared" si="11"/>
        <v>64375.158765650427</v>
      </c>
      <c r="H82">
        <f t="shared" si="12"/>
        <v>-412.16039999999998</v>
      </c>
      <c r="I82">
        <f t="shared" si="13"/>
        <v>169876.19532815999</v>
      </c>
    </row>
    <row r="83" spans="1:9" x14ac:dyDescent="0.3">
      <c r="A83">
        <v>482</v>
      </c>
      <c r="B83">
        <v>1249</v>
      </c>
      <c r="C83">
        <f t="shared" si="7"/>
        <v>232324</v>
      </c>
      <c r="D83">
        <f t="shared" si="8"/>
        <v>602018</v>
      </c>
      <c r="E83">
        <f t="shared" si="9"/>
        <v>891.21512600000005</v>
      </c>
      <c r="F83">
        <f t="shared" si="10"/>
        <v>357.78487399999995</v>
      </c>
      <c r="G83">
        <f t="shared" si="11"/>
        <v>128010.01606319584</v>
      </c>
      <c r="H83">
        <f t="shared" si="12"/>
        <v>362.83960000000002</v>
      </c>
      <c r="I83">
        <f t="shared" si="13"/>
        <v>131652.57532816002</v>
      </c>
    </row>
    <row r="84" spans="1:9" x14ac:dyDescent="0.3">
      <c r="A84">
        <v>191</v>
      </c>
      <c r="B84">
        <v>923</v>
      </c>
      <c r="C84">
        <f t="shared" si="7"/>
        <v>36481</v>
      </c>
      <c r="D84">
        <f t="shared" si="8"/>
        <v>176293</v>
      </c>
      <c r="E84">
        <f t="shared" si="9"/>
        <v>789.55631300000005</v>
      </c>
      <c r="F84">
        <f t="shared" si="10"/>
        <v>133.44368699999995</v>
      </c>
      <c r="G84">
        <f t="shared" si="11"/>
        <v>17807.217600153956</v>
      </c>
      <c r="H84">
        <f t="shared" si="12"/>
        <v>36.839600000000019</v>
      </c>
      <c r="I84">
        <f t="shared" si="13"/>
        <v>1357.1561281600013</v>
      </c>
    </row>
    <row r="85" spans="1:9" x14ac:dyDescent="0.3">
      <c r="A85">
        <v>65</v>
      </c>
      <c r="B85">
        <v>766</v>
      </c>
      <c r="C85">
        <f t="shared" si="7"/>
        <v>4225</v>
      </c>
      <c r="D85">
        <f t="shared" si="8"/>
        <v>49790</v>
      </c>
      <c r="E85">
        <f t="shared" si="9"/>
        <v>745.53909500000009</v>
      </c>
      <c r="F85">
        <f t="shared" si="10"/>
        <v>20.460904999999912</v>
      </c>
      <c r="G85">
        <f t="shared" si="11"/>
        <v>418.64863341902139</v>
      </c>
      <c r="H85">
        <f t="shared" si="12"/>
        <v>-120.16039999999998</v>
      </c>
      <c r="I85">
        <f t="shared" si="13"/>
        <v>14438.521728159996</v>
      </c>
    </row>
    <row r="86" spans="1:9" x14ac:dyDescent="0.3">
      <c r="A86">
        <v>305</v>
      </c>
      <c r="B86">
        <v>1340</v>
      </c>
      <c r="C86">
        <f t="shared" si="7"/>
        <v>93025</v>
      </c>
      <c r="D86">
        <f t="shared" si="8"/>
        <v>408700</v>
      </c>
      <c r="E86">
        <f t="shared" si="9"/>
        <v>829.38141500000006</v>
      </c>
      <c r="F86">
        <f t="shared" si="10"/>
        <v>510.61858499999994</v>
      </c>
      <c r="G86">
        <f t="shared" si="11"/>
        <v>260731.33934740216</v>
      </c>
      <c r="H86">
        <f t="shared" si="12"/>
        <v>453.83960000000002</v>
      </c>
      <c r="I86">
        <f t="shared" si="13"/>
        <v>205970.38252816003</v>
      </c>
    </row>
    <row r="87" spans="1:9" x14ac:dyDescent="0.3">
      <c r="A87">
        <v>654</v>
      </c>
      <c r="B87">
        <v>1302</v>
      </c>
      <c r="C87">
        <f t="shared" si="7"/>
        <v>427716</v>
      </c>
      <c r="D87">
        <f t="shared" si="8"/>
        <v>851508</v>
      </c>
      <c r="E87">
        <f t="shared" si="9"/>
        <v>951.30212200000005</v>
      </c>
      <c r="F87">
        <f t="shared" si="10"/>
        <v>350.69787799999995</v>
      </c>
      <c r="G87">
        <f t="shared" si="11"/>
        <v>122989.00163370285</v>
      </c>
      <c r="H87">
        <f t="shared" si="12"/>
        <v>415.83960000000002</v>
      </c>
      <c r="I87">
        <f t="shared" si="13"/>
        <v>172922.57292816002</v>
      </c>
    </row>
    <row r="88" spans="1:9" x14ac:dyDescent="0.3">
      <c r="A88">
        <v>662</v>
      </c>
      <c r="B88">
        <v>1212</v>
      </c>
      <c r="C88">
        <f t="shared" si="7"/>
        <v>438244</v>
      </c>
      <c r="D88">
        <f t="shared" si="8"/>
        <v>802344</v>
      </c>
      <c r="E88">
        <f t="shared" si="9"/>
        <v>954.09686600000009</v>
      </c>
      <c r="F88">
        <f t="shared" si="10"/>
        <v>257.90313399999991</v>
      </c>
      <c r="G88">
        <f t="shared" si="11"/>
        <v>66514.02652702191</v>
      </c>
      <c r="H88">
        <f t="shared" si="12"/>
        <v>325.83960000000002</v>
      </c>
      <c r="I88">
        <f t="shared" si="13"/>
        <v>106171.44492816001</v>
      </c>
    </row>
    <row r="89" spans="1:9" x14ac:dyDescent="0.3">
      <c r="A89">
        <v>47</v>
      </c>
      <c r="B89">
        <v>717</v>
      </c>
      <c r="C89">
        <f t="shared" si="7"/>
        <v>2209</v>
      </c>
      <c r="D89">
        <f t="shared" si="8"/>
        <v>33699</v>
      </c>
      <c r="E89">
        <f t="shared" si="9"/>
        <v>739.25092100000006</v>
      </c>
      <c r="F89">
        <f t="shared" si="10"/>
        <v>-22.250921000000062</v>
      </c>
      <c r="G89">
        <f t="shared" si="11"/>
        <v>495.10348534824374</v>
      </c>
      <c r="H89">
        <f t="shared" si="12"/>
        <v>-169.16039999999998</v>
      </c>
      <c r="I89">
        <f t="shared" si="13"/>
        <v>28615.240928159994</v>
      </c>
    </row>
    <row r="90" spans="1:9" x14ac:dyDescent="0.3">
      <c r="A90">
        <v>488</v>
      </c>
      <c r="B90">
        <v>1155</v>
      </c>
      <c r="C90">
        <f t="shared" si="7"/>
        <v>238144</v>
      </c>
      <c r="D90">
        <f t="shared" si="8"/>
        <v>563640</v>
      </c>
      <c r="E90">
        <f t="shared" si="9"/>
        <v>893.31118400000003</v>
      </c>
      <c r="F90">
        <f t="shared" si="10"/>
        <v>261.68881599999997</v>
      </c>
      <c r="G90">
        <f t="shared" si="11"/>
        <v>68481.036419481839</v>
      </c>
      <c r="H90">
        <f t="shared" si="12"/>
        <v>268.83960000000002</v>
      </c>
      <c r="I90">
        <f t="shared" si="13"/>
        <v>72274.730528160013</v>
      </c>
    </row>
    <row r="91" spans="1:9" x14ac:dyDescent="0.3">
      <c r="A91">
        <v>94</v>
      </c>
      <c r="B91">
        <v>618</v>
      </c>
      <c r="C91">
        <f t="shared" si="7"/>
        <v>8836</v>
      </c>
      <c r="D91">
        <f t="shared" si="8"/>
        <v>58092</v>
      </c>
      <c r="E91">
        <f t="shared" si="9"/>
        <v>755.67004200000008</v>
      </c>
      <c r="F91">
        <f t="shared" si="10"/>
        <v>-137.67004200000008</v>
      </c>
      <c r="G91">
        <f t="shared" si="11"/>
        <v>18953.040464281785</v>
      </c>
      <c r="H91">
        <f t="shared" si="12"/>
        <v>-268.16039999999998</v>
      </c>
      <c r="I91">
        <f t="shared" si="13"/>
        <v>71910.000128159983</v>
      </c>
    </row>
    <row r="92" spans="1:9" x14ac:dyDescent="0.3">
      <c r="A92">
        <v>19</v>
      </c>
      <c r="B92">
        <v>551</v>
      </c>
      <c r="C92">
        <f t="shared" si="7"/>
        <v>361</v>
      </c>
      <c r="D92">
        <f t="shared" si="8"/>
        <v>10469</v>
      </c>
      <c r="E92">
        <f t="shared" si="9"/>
        <v>729.46931700000005</v>
      </c>
      <c r="F92">
        <f t="shared" si="10"/>
        <v>-178.46931700000005</v>
      </c>
      <c r="G92">
        <f t="shared" si="11"/>
        <v>31851.297110446507</v>
      </c>
      <c r="H92">
        <f t="shared" si="12"/>
        <v>-335.16039999999998</v>
      </c>
      <c r="I92">
        <f t="shared" si="13"/>
        <v>112332.49372815999</v>
      </c>
    </row>
    <row r="93" spans="1:9" x14ac:dyDescent="0.3">
      <c r="A93">
        <v>22</v>
      </c>
      <c r="B93">
        <v>553</v>
      </c>
      <c r="C93">
        <f t="shared" si="7"/>
        <v>484</v>
      </c>
      <c r="D93">
        <f t="shared" si="8"/>
        <v>12166</v>
      </c>
      <c r="E93">
        <f t="shared" si="9"/>
        <v>730.51734600000009</v>
      </c>
      <c r="F93">
        <f t="shared" si="10"/>
        <v>-177.51734600000009</v>
      </c>
      <c r="G93">
        <f t="shared" si="11"/>
        <v>31512.408130883749</v>
      </c>
      <c r="H93">
        <f t="shared" si="12"/>
        <v>-333.16039999999998</v>
      </c>
      <c r="I93">
        <f t="shared" si="13"/>
        <v>110995.85212815998</v>
      </c>
    </row>
    <row r="94" spans="1:9" x14ac:dyDescent="0.3">
      <c r="A94">
        <v>1649</v>
      </c>
      <c r="B94">
        <v>968</v>
      </c>
      <c r="C94">
        <f t="shared" si="7"/>
        <v>2719201</v>
      </c>
      <c r="D94">
        <f t="shared" si="8"/>
        <v>1596232</v>
      </c>
      <c r="E94">
        <f t="shared" si="9"/>
        <v>1298.8984070000001</v>
      </c>
      <c r="F94">
        <f t="shared" si="10"/>
        <v>-330.89840700000013</v>
      </c>
      <c r="G94">
        <f t="shared" si="11"/>
        <v>109493.75575513774</v>
      </c>
      <c r="H94">
        <f t="shared" si="12"/>
        <v>81.839600000000019</v>
      </c>
      <c r="I94">
        <f t="shared" si="13"/>
        <v>6697.7201281600028</v>
      </c>
    </row>
    <row r="95" spans="1:9" x14ac:dyDescent="0.3">
      <c r="A95">
        <v>396</v>
      </c>
      <c r="B95">
        <v>996</v>
      </c>
      <c r="C95">
        <f t="shared" si="7"/>
        <v>156816</v>
      </c>
      <c r="D95">
        <f t="shared" si="8"/>
        <v>394416</v>
      </c>
      <c r="E95">
        <f t="shared" si="9"/>
        <v>861.17162800000006</v>
      </c>
      <c r="F95">
        <f t="shared" si="10"/>
        <v>134.82837199999994</v>
      </c>
      <c r="G95">
        <f t="shared" si="11"/>
        <v>18178.68989617037</v>
      </c>
      <c r="H95">
        <f t="shared" si="12"/>
        <v>109.83960000000002</v>
      </c>
      <c r="I95">
        <f t="shared" si="13"/>
        <v>12064.737728160004</v>
      </c>
    </row>
    <row r="96" spans="1:9" x14ac:dyDescent="0.3">
      <c r="A96">
        <v>54</v>
      </c>
      <c r="B96">
        <v>819</v>
      </c>
      <c r="C96">
        <f t="shared" si="7"/>
        <v>2916</v>
      </c>
      <c r="D96">
        <f t="shared" si="8"/>
        <v>44226</v>
      </c>
      <c r="E96">
        <f t="shared" si="9"/>
        <v>741.69632200000001</v>
      </c>
      <c r="F96">
        <f t="shared" si="10"/>
        <v>77.303677999999991</v>
      </c>
      <c r="G96">
        <f t="shared" si="11"/>
        <v>5975.8586323276822</v>
      </c>
      <c r="H96">
        <f t="shared" si="12"/>
        <v>-67.160399999999981</v>
      </c>
      <c r="I96">
        <f t="shared" si="13"/>
        <v>4510.5193281599977</v>
      </c>
    </row>
    <row r="97" spans="1:9" x14ac:dyDescent="0.3">
      <c r="A97">
        <v>1318</v>
      </c>
      <c r="B97">
        <v>1127</v>
      </c>
      <c r="C97">
        <f t="shared" si="7"/>
        <v>1737124</v>
      </c>
      <c r="D97">
        <f t="shared" si="8"/>
        <v>1485386</v>
      </c>
      <c r="E97">
        <f t="shared" si="9"/>
        <v>1183.2658740000002</v>
      </c>
      <c r="F97">
        <f t="shared" si="10"/>
        <v>-56.265874000000167</v>
      </c>
      <c r="G97">
        <f t="shared" si="11"/>
        <v>3165.8485769838949</v>
      </c>
      <c r="H97">
        <f t="shared" si="12"/>
        <v>240.83960000000002</v>
      </c>
      <c r="I97">
        <f t="shared" si="13"/>
        <v>58003.712928160006</v>
      </c>
    </row>
    <row r="98" spans="1:9" x14ac:dyDescent="0.3">
      <c r="A98">
        <v>284</v>
      </c>
      <c r="B98">
        <v>858</v>
      </c>
      <c r="C98">
        <f t="shared" si="7"/>
        <v>80656</v>
      </c>
      <c r="D98">
        <f t="shared" si="8"/>
        <v>243672</v>
      </c>
      <c r="E98">
        <f t="shared" si="9"/>
        <v>822.04521199999999</v>
      </c>
      <c r="F98">
        <f t="shared" si="10"/>
        <v>35.954788000000008</v>
      </c>
      <c r="G98">
        <f t="shared" si="11"/>
        <v>1292.7467801249445</v>
      </c>
      <c r="H98">
        <f t="shared" si="12"/>
        <v>-28.160399999999981</v>
      </c>
      <c r="I98">
        <f t="shared" si="13"/>
        <v>793.00812815999893</v>
      </c>
    </row>
    <row r="99" spans="1:9" x14ac:dyDescent="0.3">
      <c r="A99">
        <v>112</v>
      </c>
      <c r="B99">
        <v>786</v>
      </c>
      <c r="C99">
        <f t="shared" si="7"/>
        <v>12544</v>
      </c>
      <c r="D99">
        <f t="shared" si="8"/>
        <v>88032</v>
      </c>
      <c r="E99">
        <f t="shared" si="9"/>
        <v>761.95821599999999</v>
      </c>
      <c r="F99">
        <f t="shared" si="10"/>
        <v>24.041784000000007</v>
      </c>
      <c r="G99">
        <f t="shared" si="11"/>
        <v>578.00737790265634</v>
      </c>
      <c r="H99">
        <f t="shared" si="12"/>
        <v>-100.16039999999998</v>
      </c>
      <c r="I99">
        <f t="shared" si="13"/>
        <v>10032.105728159997</v>
      </c>
    </row>
    <row r="100" spans="1:9" x14ac:dyDescent="0.3">
      <c r="A100">
        <v>87</v>
      </c>
      <c r="B100">
        <v>899</v>
      </c>
      <c r="C100">
        <f t="shared" si="7"/>
        <v>7569</v>
      </c>
      <c r="D100">
        <f t="shared" si="8"/>
        <v>78213</v>
      </c>
      <c r="E100">
        <f t="shared" si="9"/>
        <v>753.22464100000002</v>
      </c>
      <c r="F100">
        <f t="shared" si="10"/>
        <v>145.77535899999998</v>
      </c>
      <c r="G100">
        <f t="shared" si="11"/>
        <v>21250.455291578874</v>
      </c>
      <c r="H100">
        <f t="shared" si="12"/>
        <v>12.839600000000019</v>
      </c>
      <c r="I100">
        <f t="shared" si="13"/>
        <v>164.85532816000048</v>
      </c>
    </row>
    <row r="101" spans="1:9" x14ac:dyDescent="0.3">
      <c r="A101">
        <v>29</v>
      </c>
      <c r="B101">
        <v>526</v>
      </c>
      <c r="C101">
        <f t="shared" si="7"/>
        <v>841</v>
      </c>
      <c r="D101">
        <f t="shared" si="8"/>
        <v>15254</v>
      </c>
      <c r="E101">
        <f t="shared" si="9"/>
        <v>732.96274700000004</v>
      </c>
      <c r="F101">
        <f t="shared" si="10"/>
        <v>-206.96274700000004</v>
      </c>
      <c r="G101">
        <f t="shared" si="11"/>
        <v>42833.578645786023</v>
      </c>
      <c r="H101">
        <f t="shared" si="12"/>
        <v>-360.16039999999998</v>
      </c>
      <c r="I101">
        <f t="shared" si="13"/>
        <v>129715.51372815999</v>
      </c>
    </row>
    <row r="102" spans="1:9" x14ac:dyDescent="0.3">
      <c r="A102">
        <v>504</v>
      </c>
      <c r="B102">
        <v>1104</v>
      </c>
      <c r="C102">
        <f t="shared" si="7"/>
        <v>254016</v>
      </c>
      <c r="D102">
        <f t="shared" si="8"/>
        <v>556416</v>
      </c>
      <c r="E102">
        <f t="shared" si="9"/>
        <v>898.90067199999999</v>
      </c>
      <c r="F102">
        <f t="shared" si="10"/>
        <v>205.09932800000001</v>
      </c>
      <c r="G102">
        <f t="shared" si="11"/>
        <v>42065.734346051591</v>
      </c>
      <c r="H102">
        <f t="shared" si="12"/>
        <v>217.83960000000002</v>
      </c>
      <c r="I102">
        <f t="shared" si="13"/>
        <v>47454.091328160008</v>
      </c>
    </row>
    <row r="103" spans="1:9" x14ac:dyDescent="0.3">
      <c r="A103">
        <v>2226</v>
      </c>
      <c r="B103">
        <v>1347</v>
      </c>
      <c r="C103">
        <f t="shared" si="7"/>
        <v>4955076</v>
      </c>
      <c r="D103">
        <f t="shared" si="8"/>
        <v>2998422</v>
      </c>
      <c r="E103">
        <f t="shared" si="9"/>
        <v>1500.4693179999999</v>
      </c>
      <c r="F103">
        <f t="shared" si="10"/>
        <v>-153.46931799999993</v>
      </c>
      <c r="G103">
        <f t="shared" si="11"/>
        <v>23552.831567385103</v>
      </c>
      <c r="H103">
        <f t="shared" si="12"/>
        <v>460.83960000000002</v>
      </c>
      <c r="I103">
        <f t="shared" si="13"/>
        <v>212373.13692816001</v>
      </c>
    </row>
    <row r="104" spans="1:9" x14ac:dyDescent="0.3">
      <c r="A104">
        <v>86</v>
      </c>
      <c r="B104">
        <v>815</v>
      </c>
      <c r="C104">
        <f t="shared" si="7"/>
        <v>7396</v>
      </c>
      <c r="D104">
        <f t="shared" si="8"/>
        <v>70090</v>
      </c>
      <c r="E104">
        <f t="shared" si="9"/>
        <v>752.87529800000004</v>
      </c>
      <c r="F104">
        <f t="shared" si="10"/>
        <v>62.124701999999957</v>
      </c>
      <c r="G104">
        <f t="shared" si="11"/>
        <v>3859.4785985887984</v>
      </c>
      <c r="H104">
        <f t="shared" si="12"/>
        <v>-71.160399999999981</v>
      </c>
      <c r="I104">
        <f t="shared" si="13"/>
        <v>5063.8025281599976</v>
      </c>
    </row>
    <row r="105" spans="1:9" x14ac:dyDescent="0.3">
      <c r="A105">
        <v>44</v>
      </c>
      <c r="B105">
        <v>1113</v>
      </c>
      <c r="C105">
        <f t="shared" si="7"/>
        <v>1936</v>
      </c>
      <c r="D105">
        <f t="shared" si="8"/>
        <v>48972</v>
      </c>
      <c r="E105">
        <f t="shared" si="9"/>
        <v>738.20289200000002</v>
      </c>
      <c r="F105">
        <f t="shared" si="10"/>
        <v>374.79710799999998</v>
      </c>
      <c r="G105">
        <f t="shared" si="11"/>
        <v>140472.87216516366</v>
      </c>
      <c r="H105">
        <f t="shared" si="12"/>
        <v>226.83960000000002</v>
      </c>
      <c r="I105">
        <f t="shared" si="13"/>
        <v>51456.20412816001</v>
      </c>
    </row>
    <row r="106" spans="1:9" x14ac:dyDescent="0.3">
      <c r="A106">
        <v>160</v>
      </c>
      <c r="B106">
        <v>1427</v>
      </c>
      <c r="C106">
        <f t="shared" si="7"/>
        <v>25600</v>
      </c>
      <c r="D106">
        <f t="shared" si="8"/>
        <v>228320</v>
      </c>
      <c r="E106">
        <f t="shared" si="9"/>
        <v>778.72667999999999</v>
      </c>
      <c r="F106">
        <f t="shared" si="10"/>
        <v>648.27332000000001</v>
      </c>
      <c r="G106">
        <f t="shared" si="11"/>
        <v>420258.2974238224</v>
      </c>
      <c r="H106">
        <f t="shared" si="12"/>
        <v>540.83960000000002</v>
      </c>
      <c r="I106">
        <f t="shared" si="13"/>
        <v>292507.47292816004</v>
      </c>
    </row>
    <row r="107" spans="1:9" x14ac:dyDescent="0.3">
      <c r="A107">
        <v>87</v>
      </c>
      <c r="B107">
        <v>743</v>
      </c>
      <c r="C107">
        <f t="shared" si="7"/>
        <v>7569</v>
      </c>
      <c r="D107">
        <f t="shared" si="8"/>
        <v>64641</v>
      </c>
      <c r="E107">
        <f t="shared" si="9"/>
        <v>753.22464100000002</v>
      </c>
      <c r="F107">
        <f t="shared" si="10"/>
        <v>-10.22464100000002</v>
      </c>
      <c r="G107">
        <f t="shared" si="11"/>
        <v>104.5432835788814</v>
      </c>
      <c r="H107">
        <f t="shared" si="12"/>
        <v>-143.16039999999998</v>
      </c>
      <c r="I107">
        <f t="shared" si="13"/>
        <v>20494.900128159996</v>
      </c>
    </row>
    <row r="108" spans="1:9" x14ac:dyDescent="0.3">
      <c r="A108">
        <v>6</v>
      </c>
      <c r="B108">
        <v>724</v>
      </c>
      <c r="C108">
        <f t="shared" si="7"/>
        <v>36</v>
      </c>
      <c r="D108">
        <f t="shared" si="8"/>
        <v>4344</v>
      </c>
      <c r="E108">
        <f t="shared" si="9"/>
        <v>724.92785800000001</v>
      </c>
      <c r="F108">
        <f t="shared" si="10"/>
        <v>-0.92785800000001473</v>
      </c>
      <c r="G108">
        <f t="shared" si="11"/>
        <v>0.86092046816402734</v>
      </c>
      <c r="H108">
        <f t="shared" si="12"/>
        <v>-162.16039999999998</v>
      </c>
      <c r="I108">
        <f t="shared" si="13"/>
        <v>26295.995328159996</v>
      </c>
    </row>
    <row r="109" spans="1:9" x14ac:dyDescent="0.3">
      <c r="A109">
        <v>19</v>
      </c>
      <c r="B109">
        <v>344</v>
      </c>
      <c r="C109">
        <f t="shared" si="7"/>
        <v>361</v>
      </c>
      <c r="D109">
        <f t="shared" si="8"/>
        <v>6536</v>
      </c>
      <c r="E109">
        <f t="shared" si="9"/>
        <v>729.46931700000005</v>
      </c>
      <c r="F109">
        <f t="shared" si="10"/>
        <v>-385.46931700000005</v>
      </c>
      <c r="G109">
        <f t="shared" si="11"/>
        <v>148586.59434844652</v>
      </c>
      <c r="H109">
        <f t="shared" si="12"/>
        <v>-542.16039999999998</v>
      </c>
      <c r="I109">
        <f t="shared" si="13"/>
        <v>293937.89932815998</v>
      </c>
    </row>
    <row r="110" spans="1:9" x14ac:dyDescent="0.3">
      <c r="A110">
        <v>760</v>
      </c>
      <c r="B110">
        <v>1089</v>
      </c>
      <c r="C110">
        <f t="shared" si="7"/>
        <v>577600</v>
      </c>
      <c r="D110">
        <f t="shared" si="8"/>
        <v>827640</v>
      </c>
      <c r="E110">
        <f t="shared" si="9"/>
        <v>988.33248000000003</v>
      </c>
      <c r="F110">
        <f t="shared" si="10"/>
        <v>100.66751999999997</v>
      </c>
      <c r="G110">
        <f t="shared" si="11"/>
        <v>10133.949582950394</v>
      </c>
      <c r="H110">
        <f t="shared" si="12"/>
        <v>202.83960000000002</v>
      </c>
      <c r="I110">
        <f t="shared" si="13"/>
        <v>41143.903328160006</v>
      </c>
    </row>
    <row r="111" spans="1:9" x14ac:dyDescent="0.3">
      <c r="A111">
        <v>40</v>
      </c>
      <c r="B111">
        <v>839</v>
      </c>
      <c r="C111">
        <f t="shared" si="7"/>
        <v>1600</v>
      </c>
      <c r="D111">
        <f t="shared" si="8"/>
        <v>33560</v>
      </c>
      <c r="E111">
        <f t="shared" si="9"/>
        <v>736.80552</v>
      </c>
      <c r="F111">
        <f t="shared" si="10"/>
        <v>102.19448</v>
      </c>
      <c r="G111">
        <f t="shared" si="11"/>
        <v>10443.711742470399</v>
      </c>
      <c r="H111">
        <f t="shared" si="12"/>
        <v>-47.160399999999981</v>
      </c>
      <c r="I111">
        <f t="shared" si="13"/>
        <v>2224.1033281599985</v>
      </c>
    </row>
    <row r="112" spans="1:9" x14ac:dyDescent="0.3">
      <c r="A112">
        <v>181</v>
      </c>
      <c r="B112">
        <v>200</v>
      </c>
      <c r="C112">
        <f t="shared" si="7"/>
        <v>32761</v>
      </c>
      <c r="D112">
        <f t="shared" si="8"/>
        <v>36200</v>
      </c>
      <c r="E112">
        <f t="shared" si="9"/>
        <v>786.06288300000006</v>
      </c>
      <c r="F112">
        <f t="shared" si="10"/>
        <v>-586.06288300000006</v>
      </c>
      <c r="G112">
        <f t="shared" si="11"/>
        <v>343469.70283027174</v>
      </c>
      <c r="H112">
        <f t="shared" si="12"/>
        <v>-686.16039999999998</v>
      </c>
      <c r="I112">
        <f t="shared" si="13"/>
        <v>470816.09452816</v>
      </c>
    </row>
    <row r="113" spans="1:9" x14ac:dyDescent="0.3">
      <c r="A113">
        <v>271</v>
      </c>
      <c r="B113">
        <v>837</v>
      </c>
      <c r="C113">
        <f t="shared" si="7"/>
        <v>73441</v>
      </c>
      <c r="D113">
        <f t="shared" si="8"/>
        <v>226827</v>
      </c>
      <c r="E113">
        <f t="shared" si="9"/>
        <v>817.50375300000007</v>
      </c>
      <c r="F113">
        <f t="shared" si="10"/>
        <v>19.496246999999926</v>
      </c>
      <c r="G113">
        <f t="shared" si="11"/>
        <v>380.10364708500612</v>
      </c>
      <c r="H113">
        <f t="shared" si="12"/>
        <v>-49.160399999999981</v>
      </c>
      <c r="I113">
        <f t="shared" si="13"/>
        <v>2416.7449281599984</v>
      </c>
    </row>
    <row r="114" spans="1:9" x14ac:dyDescent="0.3">
      <c r="A114">
        <v>110</v>
      </c>
      <c r="B114">
        <v>790</v>
      </c>
      <c r="C114">
        <f t="shared" si="7"/>
        <v>12100</v>
      </c>
      <c r="D114">
        <f t="shared" si="8"/>
        <v>86900</v>
      </c>
      <c r="E114">
        <f t="shared" si="9"/>
        <v>761.25953000000004</v>
      </c>
      <c r="F114">
        <f t="shared" si="10"/>
        <v>28.740469999999959</v>
      </c>
      <c r="G114">
        <f t="shared" si="11"/>
        <v>826.01461582089769</v>
      </c>
      <c r="H114">
        <f t="shared" si="12"/>
        <v>-96.160399999999981</v>
      </c>
      <c r="I114">
        <f t="shared" si="13"/>
        <v>9246.8225281599971</v>
      </c>
    </row>
    <row r="115" spans="1:9" x14ac:dyDescent="0.3">
      <c r="A115">
        <v>1229</v>
      </c>
      <c r="B115">
        <v>1083</v>
      </c>
      <c r="C115">
        <f t="shared" si="7"/>
        <v>1510441</v>
      </c>
      <c r="D115">
        <f t="shared" si="8"/>
        <v>1331007</v>
      </c>
      <c r="E115">
        <f t="shared" si="9"/>
        <v>1152.1743470000001</v>
      </c>
      <c r="F115">
        <f t="shared" si="10"/>
        <v>-69.174347000000125</v>
      </c>
      <c r="G115">
        <f t="shared" si="11"/>
        <v>4785.0902828764265</v>
      </c>
      <c r="H115">
        <f t="shared" si="12"/>
        <v>196.83960000000002</v>
      </c>
      <c r="I115">
        <f t="shared" si="13"/>
        <v>38745.828128160007</v>
      </c>
    </row>
    <row r="116" spans="1:9" x14ac:dyDescent="0.3">
      <c r="A116">
        <v>811</v>
      </c>
      <c r="B116">
        <v>705</v>
      </c>
      <c r="C116">
        <f t="shared" si="7"/>
        <v>657721</v>
      </c>
      <c r="D116">
        <f t="shared" si="8"/>
        <v>571755</v>
      </c>
      <c r="E116">
        <f t="shared" si="9"/>
        <v>1006.1489730000001</v>
      </c>
      <c r="F116">
        <f t="shared" si="10"/>
        <v>-301.14897300000007</v>
      </c>
      <c r="G116">
        <f t="shared" si="11"/>
        <v>90690.703938954772</v>
      </c>
      <c r="H116">
        <f t="shared" si="12"/>
        <v>-181.16039999999998</v>
      </c>
      <c r="I116">
        <f t="shared" si="13"/>
        <v>32819.090528159992</v>
      </c>
    </row>
    <row r="117" spans="1:9" x14ac:dyDescent="0.3">
      <c r="A117">
        <v>222</v>
      </c>
      <c r="B117">
        <v>794</v>
      </c>
      <c r="C117">
        <f t="shared" si="7"/>
        <v>49284</v>
      </c>
      <c r="D117">
        <f t="shared" si="8"/>
        <v>176268</v>
      </c>
      <c r="E117">
        <f t="shared" si="9"/>
        <v>800.3859460000001</v>
      </c>
      <c r="F117">
        <f t="shared" si="10"/>
        <v>-6.3859460000001036</v>
      </c>
      <c r="G117">
        <f t="shared" si="11"/>
        <v>40.780306314917325</v>
      </c>
      <c r="H117">
        <f t="shared" si="12"/>
        <v>-92.160399999999981</v>
      </c>
      <c r="I117">
        <f t="shared" si="13"/>
        <v>8493.5393281599972</v>
      </c>
    </row>
    <row r="118" spans="1:9" x14ac:dyDescent="0.3">
      <c r="A118">
        <v>158</v>
      </c>
      <c r="B118">
        <v>865</v>
      </c>
      <c r="C118">
        <f t="shared" si="7"/>
        <v>24964</v>
      </c>
      <c r="D118">
        <f t="shared" si="8"/>
        <v>136670</v>
      </c>
      <c r="E118">
        <f t="shared" si="9"/>
        <v>778.02799400000004</v>
      </c>
      <c r="F118">
        <f t="shared" si="10"/>
        <v>86.972005999999965</v>
      </c>
      <c r="G118">
        <f t="shared" si="11"/>
        <v>7564.12982766403</v>
      </c>
      <c r="H118">
        <f t="shared" si="12"/>
        <v>-21.160399999999981</v>
      </c>
      <c r="I118">
        <f t="shared" si="13"/>
        <v>447.76252815999919</v>
      </c>
    </row>
    <row r="119" spans="1:9" x14ac:dyDescent="0.3">
      <c r="A119">
        <v>773</v>
      </c>
      <c r="B119">
        <v>848</v>
      </c>
      <c r="C119">
        <f t="shared" si="7"/>
        <v>597529</v>
      </c>
      <c r="D119">
        <f t="shared" si="8"/>
        <v>655504</v>
      </c>
      <c r="E119">
        <f t="shared" si="9"/>
        <v>992.87393900000006</v>
      </c>
      <c r="F119">
        <f t="shared" si="10"/>
        <v>-144.87393900000006</v>
      </c>
      <c r="G119">
        <f t="shared" si="11"/>
        <v>20988.458201375739</v>
      </c>
      <c r="H119">
        <f t="shared" si="12"/>
        <v>-38.160399999999981</v>
      </c>
      <c r="I119">
        <f t="shared" si="13"/>
        <v>1456.2161281599986</v>
      </c>
    </row>
    <row r="120" spans="1:9" x14ac:dyDescent="0.3">
      <c r="A120">
        <v>588</v>
      </c>
      <c r="B120">
        <v>1370</v>
      </c>
      <c r="C120">
        <f t="shared" si="7"/>
        <v>345744</v>
      </c>
      <c r="D120">
        <f t="shared" si="8"/>
        <v>805560</v>
      </c>
      <c r="E120">
        <f t="shared" si="9"/>
        <v>928.24548400000003</v>
      </c>
      <c r="F120">
        <f t="shared" si="10"/>
        <v>441.75451599999997</v>
      </c>
      <c r="G120">
        <f t="shared" si="11"/>
        <v>195147.05240639421</v>
      </c>
      <c r="H120">
        <f t="shared" si="12"/>
        <v>483.83960000000002</v>
      </c>
      <c r="I120">
        <f t="shared" si="13"/>
        <v>234100.75852816002</v>
      </c>
    </row>
    <row r="121" spans="1:9" x14ac:dyDescent="0.3">
      <c r="A121">
        <v>297</v>
      </c>
      <c r="B121">
        <v>969</v>
      </c>
      <c r="C121">
        <f t="shared" si="7"/>
        <v>88209</v>
      </c>
      <c r="D121">
        <f t="shared" si="8"/>
        <v>287793</v>
      </c>
      <c r="E121">
        <f t="shared" si="9"/>
        <v>826.58667100000002</v>
      </c>
      <c r="F121">
        <f t="shared" si="10"/>
        <v>142.41332899999998</v>
      </c>
      <c r="G121">
        <f t="shared" si="11"/>
        <v>20281.556276862233</v>
      </c>
      <c r="H121">
        <f t="shared" si="12"/>
        <v>82.839600000000019</v>
      </c>
      <c r="I121">
        <f t="shared" si="13"/>
        <v>6862.3993281600033</v>
      </c>
    </row>
    <row r="122" spans="1:9" x14ac:dyDescent="0.3">
      <c r="A122">
        <v>131</v>
      </c>
      <c r="B122">
        <v>637</v>
      </c>
      <c r="C122">
        <f t="shared" si="7"/>
        <v>17161</v>
      </c>
      <c r="D122">
        <f t="shared" si="8"/>
        <v>83447</v>
      </c>
      <c r="E122">
        <f t="shared" si="9"/>
        <v>768.595733</v>
      </c>
      <c r="F122">
        <f t="shared" si="10"/>
        <v>-131.595733</v>
      </c>
      <c r="G122">
        <f t="shared" si="11"/>
        <v>17317.436943807286</v>
      </c>
      <c r="H122">
        <f t="shared" si="12"/>
        <v>-249.16039999999998</v>
      </c>
      <c r="I122">
        <f t="shared" si="13"/>
        <v>62080.904928159987</v>
      </c>
    </row>
    <row r="123" spans="1:9" x14ac:dyDescent="0.3">
      <c r="A123">
        <v>80</v>
      </c>
      <c r="B123">
        <v>557</v>
      </c>
      <c r="C123">
        <f t="shared" si="7"/>
        <v>6400</v>
      </c>
      <c r="D123">
        <f t="shared" si="8"/>
        <v>44560</v>
      </c>
      <c r="E123">
        <f t="shared" si="9"/>
        <v>750.77924000000007</v>
      </c>
      <c r="F123">
        <f t="shared" si="10"/>
        <v>-193.77924000000007</v>
      </c>
      <c r="G123">
        <f t="shared" si="11"/>
        <v>37550.393854977629</v>
      </c>
      <c r="H123">
        <f t="shared" si="12"/>
        <v>-329.16039999999998</v>
      </c>
      <c r="I123">
        <f t="shared" si="13"/>
        <v>108346.56892815999</v>
      </c>
    </row>
    <row r="124" spans="1:9" x14ac:dyDescent="0.3">
      <c r="A124">
        <v>294</v>
      </c>
      <c r="B124">
        <v>921</v>
      </c>
      <c r="C124">
        <f t="shared" si="7"/>
        <v>86436</v>
      </c>
      <c r="D124">
        <f t="shared" si="8"/>
        <v>270774</v>
      </c>
      <c r="E124">
        <f t="shared" si="9"/>
        <v>825.5386420000001</v>
      </c>
      <c r="F124">
        <f t="shared" si="10"/>
        <v>95.461357999999905</v>
      </c>
      <c r="G124">
        <f t="shared" si="11"/>
        <v>9112.8708712041462</v>
      </c>
      <c r="H124">
        <f t="shared" si="12"/>
        <v>34.839600000000019</v>
      </c>
      <c r="I124">
        <f t="shared" si="13"/>
        <v>1213.7977281600013</v>
      </c>
    </row>
    <row r="125" spans="1:9" x14ac:dyDescent="0.3">
      <c r="A125">
        <v>301</v>
      </c>
      <c r="B125">
        <v>582</v>
      </c>
      <c r="C125">
        <f t="shared" si="7"/>
        <v>90601</v>
      </c>
      <c r="D125">
        <f t="shared" si="8"/>
        <v>175182</v>
      </c>
      <c r="E125">
        <f t="shared" si="9"/>
        <v>827.98404300000004</v>
      </c>
      <c r="F125">
        <f t="shared" si="10"/>
        <v>-245.98404300000004</v>
      </c>
      <c r="G125">
        <f t="shared" si="11"/>
        <v>60508.149410625869</v>
      </c>
      <c r="H125">
        <f t="shared" si="12"/>
        <v>-304.16039999999998</v>
      </c>
      <c r="I125">
        <f t="shared" si="13"/>
        <v>92513.548928159988</v>
      </c>
    </row>
    <row r="126" spans="1:9" x14ac:dyDescent="0.3">
      <c r="A126">
        <v>747</v>
      </c>
      <c r="B126">
        <v>1132</v>
      </c>
      <c r="C126">
        <f t="shared" si="7"/>
        <v>558009</v>
      </c>
      <c r="D126">
        <f t="shared" si="8"/>
        <v>845604</v>
      </c>
      <c r="E126">
        <f t="shared" si="9"/>
        <v>983.791021</v>
      </c>
      <c r="F126">
        <f t="shared" si="10"/>
        <v>148.208979</v>
      </c>
      <c r="G126">
        <f t="shared" si="11"/>
        <v>21965.90145622244</v>
      </c>
      <c r="H126">
        <f t="shared" si="12"/>
        <v>245.83960000000002</v>
      </c>
      <c r="I126">
        <f t="shared" si="13"/>
        <v>60437.108928160007</v>
      </c>
    </row>
    <row r="127" spans="1:9" x14ac:dyDescent="0.3">
      <c r="A127">
        <v>123</v>
      </c>
      <c r="B127">
        <v>1079</v>
      </c>
      <c r="C127">
        <f t="shared" si="7"/>
        <v>15129</v>
      </c>
      <c r="D127">
        <f t="shared" si="8"/>
        <v>132717</v>
      </c>
      <c r="E127">
        <f t="shared" si="9"/>
        <v>765.80098900000007</v>
      </c>
      <c r="F127">
        <f t="shared" si="10"/>
        <v>313.19901099999993</v>
      </c>
      <c r="G127">
        <f t="shared" si="11"/>
        <v>98093.620491378082</v>
      </c>
      <c r="H127">
        <f t="shared" si="12"/>
        <v>192.83960000000002</v>
      </c>
      <c r="I127">
        <f t="shared" si="13"/>
        <v>37187.111328160005</v>
      </c>
    </row>
    <row r="128" spans="1:9" x14ac:dyDescent="0.3">
      <c r="A128">
        <v>211</v>
      </c>
      <c r="B128">
        <v>1249</v>
      </c>
      <c r="C128">
        <f t="shared" si="7"/>
        <v>44521</v>
      </c>
      <c r="D128">
        <f t="shared" si="8"/>
        <v>263539</v>
      </c>
      <c r="E128">
        <f t="shared" si="9"/>
        <v>796.54317300000002</v>
      </c>
      <c r="F128">
        <f t="shared" si="10"/>
        <v>452.45682699999998</v>
      </c>
      <c r="G128">
        <f t="shared" si="11"/>
        <v>204717.18029890792</v>
      </c>
      <c r="H128">
        <f t="shared" si="12"/>
        <v>362.83960000000002</v>
      </c>
      <c r="I128">
        <f t="shared" si="13"/>
        <v>131652.57532816002</v>
      </c>
    </row>
    <row r="129" spans="1:9" x14ac:dyDescent="0.3">
      <c r="A129">
        <v>310</v>
      </c>
      <c r="B129">
        <v>1051</v>
      </c>
      <c r="C129">
        <f t="shared" si="7"/>
        <v>96100</v>
      </c>
      <c r="D129">
        <f t="shared" si="8"/>
        <v>325810</v>
      </c>
      <c r="E129">
        <f t="shared" si="9"/>
        <v>831.12813000000006</v>
      </c>
      <c r="F129">
        <f t="shared" si="10"/>
        <v>219.87186999999994</v>
      </c>
      <c r="G129">
        <f t="shared" si="11"/>
        <v>48343.639217296877</v>
      </c>
      <c r="H129">
        <f t="shared" si="12"/>
        <v>164.83960000000002</v>
      </c>
      <c r="I129">
        <f t="shared" si="13"/>
        <v>27172.093728160005</v>
      </c>
    </row>
    <row r="130" spans="1:9" x14ac:dyDescent="0.3">
      <c r="A130">
        <v>52</v>
      </c>
      <c r="B130">
        <v>257</v>
      </c>
      <c r="C130">
        <f t="shared" si="7"/>
        <v>2704</v>
      </c>
      <c r="D130">
        <f t="shared" si="8"/>
        <v>13364</v>
      </c>
      <c r="E130">
        <f t="shared" si="9"/>
        <v>740.99763600000006</v>
      </c>
      <c r="F130">
        <f t="shared" si="10"/>
        <v>-483.99763600000006</v>
      </c>
      <c r="G130">
        <f t="shared" si="11"/>
        <v>234253.71165358854</v>
      </c>
      <c r="H130">
        <f t="shared" si="12"/>
        <v>-629.16039999999998</v>
      </c>
      <c r="I130">
        <f t="shared" si="13"/>
        <v>395842.80892816</v>
      </c>
    </row>
    <row r="131" spans="1:9" x14ac:dyDescent="0.3">
      <c r="A131">
        <v>30</v>
      </c>
      <c r="B131">
        <v>334</v>
      </c>
      <c r="C131">
        <f t="shared" ref="C131:C194" si="14">PRODUCT(A131,A131)</f>
        <v>900</v>
      </c>
      <c r="D131">
        <f t="shared" ref="D131:D194" si="15">PRODUCT(A131,B131)</f>
        <v>10020</v>
      </c>
      <c r="E131">
        <f t="shared" ref="E131:E194" si="16">722.8318+PRODUCT(0.349343,A131)</f>
        <v>733.31209000000001</v>
      </c>
      <c r="F131">
        <f t="shared" ref="F131:F194" si="17">B131-E131</f>
        <v>-399.31209000000001</v>
      </c>
      <c r="G131">
        <f t="shared" ref="G131:G194" si="18">PRODUCT(F131,F131)</f>
        <v>159450.14522016811</v>
      </c>
      <c r="H131">
        <f t="shared" ref="H131:H194" si="19">B131-886.1604</f>
        <v>-552.16039999999998</v>
      </c>
      <c r="I131">
        <f t="shared" ref="I131:I194" si="20">PRODUCT(H131,H131)</f>
        <v>304881.10732815997</v>
      </c>
    </row>
    <row r="132" spans="1:9" x14ac:dyDescent="0.3">
      <c r="A132">
        <v>51</v>
      </c>
      <c r="B132">
        <v>621</v>
      </c>
      <c r="C132">
        <f t="shared" si="14"/>
        <v>2601</v>
      </c>
      <c r="D132">
        <f t="shared" si="15"/>
        <v>31671</v>
      </c>
      <c r="E132">
        <f t="shared" si="16"/>
        <v>740.64829300000008</v>
      </c>
      <c r="F132">
        <f t="shared" si="17"/>
        <v>-119.64829300000008</v>
      </c>
      <c r="G132">
        <f t="shared" si="18"/>
        <v>14315.714017813869</v>
      </c>
      <c r="H132">
        <f t="shared" si="19"/>
        <v>-265.16039999999998</v>
      </c>
      <c r="I132">
        <f t="shared" si="20"/>
        <v>70310.037728159994</v>
      </c>
    </row>
    <row r="133" spans="1:9" x14ac:dyDescent="0.3">
      <c r="A133">
        <v>143</v>
      </c>
      <c r="B133">
        <v>838</v>
      </c>
      <c r="C133">
        <f t="shared" si="14"/>
        <v>20449</v>
      </c>
      <c r="D133">
        <f t="shared" si="15"/>
        <v>119834</v>
      </c>
      <c r="E133">
        <f t="shared" si="16"/>
        <v>772.78784900000005</v>
      </c>
      <c r="F133">
        <f t="shared" si="17"/>
        <v>65.212150999999949</v>
      </c>
      <c r="G133">
        <f t="shared" si="18"/>
        <v>4252.6246380467946</v>
      </c>
      <c r="H133">
        <f t="shared" si="19"/>
        <v>-48.160399999999981</v>
      </c>
      <c r="I133">
        <f t="shared" si="20"/>
        <v>2319.4241281599984</v>
      </c>
    </row>
    <row r="134" spans="1:9" x14ac:dyDescent="0.3">
      <c r="A134">
        <v>205</v>
      </c>
      <c r="B134">
        <v>423</v>
      </c>
      <c r="C134">
        <f t="shared" si="14"/>
        <v>42025</v>
      </c>
      <c r="D134">
        <f t="shared" si="15"/>
        <v>86715</v>
      </c>
      <c r="E134">
        <f t="shared" si="16"/>
        <v>794.44711500000005</v>
      </c>
      <c r="F134">
        <f t="shared" si="17"/>
        <v>-371.44711500000005</v>
      </c>
      <c r="G134">
        <f t="shared" si="18"/>
        <v>137972.95924182326</v>
      </c>
      <c r="H134">
        <f t="shared" si="19"/>
        <v>-463.16039999999998</v>
      </c>
      <c r="I134">
        <f t="shared" si="20"/>
        <v>214517.55612815998</v>
      </c>
    </row>
    <row r="135" spans="1:9" x14ac:dyDescent="0.3">
      <c r="A135">
        <v>138</v>
      </c>
      <c r="B135">
        <v>656</v>
      </c>
      <c r="C135">
        <f t="shared" si="14"/>
        <v>19044</v>
      </c>
      <c r="D135">
        <f t="shared" si="15"/>
        <v>90528</v>
      </c>
      <c r="E135">
        <f t="shared" si="16"/>
        <v>771.04113400000006</v>
      </c>
      <c r="F135">
        <f t="shared" si="17"/>
        <v>-115.04113400000006</v>
      </c>
      <c r="G135">
        <f t="shared" si="18"/>
        <v>13234.462512005968</v>
      </c>
      <c r="H135">
        <f t="shared" si="19"/>
        <v>-230.16039999999998</v>
      </c>
      <c r="I135">
        <f t="shared" si="20"/>
        <v>52973.809728159991</v>
      </c>
    </row>
    <row r="136" spans="1:9" x14ac:dyDescent="0.3">
      <c r="A136">
        <v>21</v>
      </c>
      <c r="B136">
        <v>370</v>
      </c>
      <c r="C136">
        <f t="shared" si="14"/>
        <v>441</v>
      </c>
      <c r="D136">
        <f t="shared" si="15"/>
        <v>7770</v>
      </c>
      <c r="E136">
        <f t="shared" si="16"/>
        <v>730.168003</v>
      </c>
      <c r="F136">
        <f t="shared" si="17"/>
        <v>-360.168003</v>
      </c>
      <c r="G136">
        <f t="shared" si="18"/>
        <v>129720.990385008</v>
      </c>
      <c r="H136">
        <f t="shared" si="19"/>
        <v>-516.16039999999998</v>
      </c>
      <c r="I136">
        <f t="shared" si="20"/>
        <v>266421.55852815998</v>
      </c>
    </row>
    <row r="137" spans="1:9" x14ac:dyDescent="0.3">
      <c r="A137">
        <v>80</v>
      </c>
      <c r="B137">
        <v>864</v>
      </c>
      <c r="C137">
        <f t="shared" si="14"/>
        <v>6400</v>
      </c>
      <c r="D137">
        <f t="shared" si="15"/>
        <v>69120</v>
      </c>
      <c r="E137">
        <f t="shared" si="16"/>
        <v>750.77924000000007</v>
      </c>
      <c r="F137">
        <f t="shared" si="17"/>
        <v>113.22075999999993</v>
      </c>
      <c r="G137">
        <f t="shared" si="18"/>
        <v>12818.940494977584</v>
      </c>
      <c r="H137">
        <f t="shared" si="19"/>
        <v>-22.160399999999981</v>
      </c>
      <c r="I137">
        <f t="shared" si="20"/>
        <v>491.08332815999916</v>
      </c>
    </row>
    <row r="138" spans="1:9" x14ac:dyDescent="0.3">
      <c r="A138">
        <v>730</v>
      </c>
      <c r="B138">
        <v>1070</v>
      </c>
      <c r="C138">
        <f t="shared" si="14"/>
        <v>532900</v>
      </c>
      <c r="D138">
        <f t="shared" si="15"/>
        <v>781100</v>
      </c>
      <c r="E138">
        <f t="shared" si="16"/>
        <v>977.85219000000006</v>
      </c>
      <c r="F138">
        <f t="shared" si="17"/>
        <v>92.147809999999936</v>
      </c>
      <c r="G138">
        <f t="shared" si="18"/>
        <v>8491.2188877960889</v>
      </c>
      <c r="H138">
        <f t="shared" si="19"/>
        <v>183.83960000000002</v>
      </c>
      <c r="I138">
        <f t="shared" si="20"/>
        <v>33796.998528160009</v>
      </c>
    </row>
    <row r="139" spans="1:9" x14ac:dyDescent="0.3">
      <c r="A139">
        <v>57</v>
      </c>
      <c r="B139">
        <v>827</v>
      </c>
      <c r="C139">
        <f t="shared" si="14"/>
        <v>3249</v>
      </c>
      <c r="D139">
        <f t="shared" si="15"/>
        <v>47139</v>
      </c>
      <c r="E139">
        <f t="shared" si="16"/>
        <v>742.74435100000005</v>
      </c>
      <c r="F139">
        <f t="shared" si="17"/>
        <v>84.255648999999949</v>
      </c>
      <c r="G139">
        <f t="shared" si="18"/>
        <v>7099.0143884111922</v>
      </c>
      <c r="H139">
        <f t="shared" si="19"/>
        <v>-59.160399999999981</v>
      </c>
      <c r="I139">
        <f t="shared" si="20"/>
        <v>3499.952928159998</v>
      </c>
    </row>
    <row r="140" spans="1:9" x14ac:dyDescent="0.3">
      <c r="A140">
        <v>60</v>
      </c>
      <c r="B140">
        <v>799</v>
      </c>
      <c r="C140">
        <f t="shared" si="14"/>
        <v>3600</v>
      </c>
      <c r="D140">
        <f t="shared" si="15"/>
        <v>47940</v>
      </c>
      <c r="E140">
        <f t="shared" si="16"/>
        <v>743.79238000000009</v>
      </c>
      <c r="F140">
        <f t="shared" si="17"/>
        <v>55.207619999999906</v>
      </c>
      <c r="G140">
        <f t="shared" si="18"/>
        <v>3047.8813060643897</v>
      </c>
      <c r="H140">
        <f t="shared" si="19"/>
        <v>-87.160399999999981</v>
      </c>
      <c r="I140">
        <f t="shared" si="20"/>
        <v>7596.935328159997</v>
      </c>
    </row>
    <row r="141" spans="1:9" x14ac:dyDescent="0.3">
      <c r="A141">
        <v>698</v>
      </c>
      <c r="B141">
        <v>1113</v>
      </c>
      <c r="C141">
        <f t="shared" si="14"/>
        <v>487204</v>
      </c>
      <c r="D141">
        <f t="shared" si="15"/>
        <v>776874</v>
      </c>
      <c r="E141">
        <f t="shared" si="16"/>
        <v>966.67321400000003</v>
      </c>
      <c r="F141">
        <f t="shared" si="17"/>
        <v>146.32678599999997</v>
      </c>
      <c r="G141">
        <f t="shared" si="18"/>
        <v>21411.528301089787</v>
      </c>
      <c r="H141">
        <f t="shared" si="19"/>
        <v>226.83960000000002</v>
      </c>
      <c r="I141">
        <f t="shared" si="20"/>
        <v>51456.20412816001</v>
      </c>
    </row>
    <row r="142" spans="1:9" x14ac:dyDescent="0.3">
      <c r="A142">
        <v>938</v>
      </c>
      <c r="B142">
        <v>820</v>
      </c>
      <c r="C142">
        <f t="shared" si="14"/>
        <v>879844</v>
      </c>
      <c r="D142">
        <f t="shared" si="15"/>
        <v>769160</v>
      </c>
      <c r="E142">
        <f t="shared" si="16"/>
        <v>1050.5155340000001</v>
      </c>
      <c r="F142">
        <f t="shared" si="17"/>
        <v>-230.51553400000012</v>
      </c>
      <c r="G142">
        <f t="shared" si="18"/>
        <v>53137.411415305207</v>
      </c>
      <c r="H142">
        <f t="shared" si="19"/>
        <v>-66.160399999999981</v>
      </c>
      <c r="I142">
        <f t="shared" si="20"/>
        <v>4377.1985281599973</v>
      </c>
    </row>
    <row r="143" spans="1:9" x14ac:dyDescent="0.3">
      <c r="A143">
        <v>226</v>
      </c>
      <c r="B143">
        <v>564</v>
      </c>
      <c r="C143">
        <f t="shared" si="14"/>
        <v>51076</v>
      </c>
      <c r="D143">
        <f t="shared" si="15"/>
        <v>127464</v>
      </c>
      <c r="E143">
        <f t="shared" si="16"/>
        <v>801.78331800000001</v>
      </c>
      <c r="F143">
        <f t="shared" si="17"/>
        <v>-237.78331800000001</v>
      </c>
      <c r="G143">
        <f t="shared" si="18"/>
        <v>56540.906319089125</v>
      </c>
      <c r="H143">
        <f t="shared" si="19"/>
        <v>-322.16039999999998</v>
      </c>
      <c r="I143">
        <f t="shared" si="20"/>
        <v>103787.32332815998</v>
      </c>
    </row>
    <row r="144" spans="1:9" x14ac:dyDescent="0.3">
      <c r="A144">
        <v>114</v>
      </c>
      <c r="B144">
        <v>632</v>
      </c>
      <c r="C144">
        <f t="shared" si="14"/>
        <v>12996</v>
      </c>
      <c r="D144">
        <f t="shared" si="15"/>
        <v>72048</v>
      </c>
      <c r="E144">
        <f t="shared" si="16"/>
        <v>762.65690200000006</v>
      </c>
      <c r="F144">
        <f t="shared" si="17"/>
        <v>-130.65690200000006</v>
      </c>
      <c r="G144">
        <f t="shared" si="18"/>
        <v>17071.22604023762</v>
      </c>
      <c r="H144">
        <f t="shared" si="19"/>
        <v>-254.16039999999998</v>
      </c>
      <c r="I144">
        <f t="shared" si="20"/>
        <v>64597.508928159994</v>
      </c>
    </row>
    <row r="145" spans="1:9" x14ac:dyDescent="0.3">
      <c r="A145">
        <v>484</v>
      </c>
      <c r="B145">
        <v>1311</v>
      </c>
      <c r="C145">
        <f t="shared" si="14"/>
        <v>234256</v>
      </c>
      <c r="D145">
        <f t="shared" si="15"/>
        <v>634524</v>
      </c>
      <c r="E145">
        <f t="shared" si="16"/>
        <v>891.91381200000001</v>
      </c>
      <c r="F145">
        <f t="shared" si="17"/>
        <v>419.08618799999999</v>
      </c>
      <c r="G145">
        <f t="shared" si="18"/>
        <v>175633.23297237133</v>
      </c>
      <c r="H145">
        <f t="shared" si="19"/>
        <v>424.83960000000002</v>
      </c>
      <c r="I145">
        <f t="shared" si="20"/>
        <v>180488.68572816002</v>
      </c>
    </row>
    <row r="146" spans="1:9" x14ac:dyDescent="0.3">
      <c r="A146">
        <v>384</v>
      </c>
      <c r="B146">
        <v>690</v>
      </c>
      <c r="C146">
        <f t="shared" si="14"/>
        <v>147456</v>
      </c>
      <c r="D146">
        <f t="shared" si="15"/>
        <v>264960</v>
      </c>
      <c r="E146">
        <f t="shared" si="16"/>
        <v>856.97951200000011</v>
      </c>
      <c r="F146">
        <f t="shared" si="17"/>
        <v>-166.97951200000011</v>
      </c>
      <c r="G146">
        <f t="shared" si="18"/>
        <v>27882.157427758182</v>
      </c>
      <c r="H146">
        <f t="shared" si="19"/>
        <v>-196.16039999999998</v>
      </c>
      <c r="I146">
        <f t="shared" si="20"/>
        <v>38478.90252815999</v>
      </c>
    </row>
    <row r="147" spans="1:9" x14ac:dyDescent="0.3">
      <c r="A147">
        <v>1329</v>
      </c>
      <c r="B147">
        <v>1510</v>
      </c>
      <c r="C147">
        <f t="shared" si="14"/>
        <v>1766241</v>
      </c>
      <c r="D147">
        <f t="shared" si="15"/>
        <v>2006790</v>
      </c>
      <c r="E147">
        <f t="shared" si="16"/>
        <v>1187.108647</v>
      </c>
      <c r="F147">
        <f t="shared" si="17"/>
        <v>322.89135299999998</v>
      </c>
      <c r="G147">
        <f t="shared" si="18"/>
        <v>104258.8258421706</v>
      </c>
      <c r="H147">
        <f t="shared" si="19"/>
        <v>623.83960000000002</v>
      </c>
      <c r="I147">
        <f t="shared" si="20"/>
        <v>389175.84652816004</v>
      </c>
    </row>
    <row r="148" spans="1:9" x14ac:dyDescent="0.3">
      <c r="A148">
        <v>48</v>
      </c>
      <c r="B148">
        <v>722</v>
      </c>
      <c r="C148">
        <f t="shared" si="14"/>
        <v>2304</v>
      </c>
      <c r="D148">
        <f t="shared" si="15"/>
        <v>34656</v>
      </c>
      <c r="E148">
        <f t="shared" si="16"/>
        <v>739.60026400000004</v>
      </c>
      <c r="F148">
        <f t="shared" si="17"/>
        <v>-17.600264000000038</v>
      </c>
      <c r="G148">
        <f t="shared" si="18"/>
        <v>309.76929286969732</v>
      </c>
      <c r="H148">
        <f t="shared" si="19"/>
        <v>-164.16039999999998</v>
      </c>
      <c r="I148">
        <f t="shared" si="20"/>
        <v>26948.636928159995</v>
      </c>
    </row>
    <row r="149" spans="1:9" x14ac:dyDescent="0.3">
      <c r="A149">
        <v>499</v>
      </c>
      <c r="B149">
        <v>728</v>
      </c>
      <c r="C149">
        <f t="shared" si="14"/>
        <v>249001</v>
      </c>
      <c r="D149">
        <f t="shared" si="15"/>
        <v>363272</v>
      </c>
      <c r="E149">
        <f t="shared" si="16"/>
        <v>897.15395699999999</v>
      </c>
      <c r="F149">
        <f t="shared" si="17"/>
        <v>-169.15395699999999</v>
      </c>
      <c r="G149">
        <f t="shared" si="18"/>
        <v>28613.061168757846</v>
      </c>
      <c r="H149">
        <f t="shared" si="19"/>
        <v>-158.16039999999998</v>
      </c>
      <c r="I149">
        <f t="shared" si="20"/>
        <v>25014.712128159994</v>
      </c>
    </row>
    <row r="150" spans="1:9" x14ac:dyDescent="0.3">
      <c r="A150">
        <v>823</v>
      </c>
      <c r="B150">
        <v>1111</v>
      </c>
      <c r="C150">
        <f t="shared" si="14"/>
        <v>677329</v>
      </c>
      <c r="D150">
        <f t="shared" si="15"/>
        <v>914353</v>
      </c>
      <c r="E150">
        <f t="shared" si="16"/>
        <v>1010.341089</v>
      </c>
      <c r="F150">
        <f t="shared" si="17"/>
        <v>100.65891099999999</v>
      </c>
      <c r="G150">
        <f t="shared" si="18"/>
        <v>10132.216363705918</v>
      </c>
      <c r="H150">
        <f t="shared" si="19"/>
        <v>224.83960000000002</v>
      </c>
      <c r="I150">
        <f t="shared" si="20"/>
        <v>50552.845728160006</v>
      </c>
    </row>
    <row r="151" spans="1:9" x14ac:dyDescent="0.3">
      <c r="A151">
        <v>468</v>
      </c>
      <c r="B151">
        <v>865</v>
      </c>
      <c r="C151">
        <f t="shared" si="14"/>
        <v>219024</v>
      </c>
      <c r="D151">
        <f t="shared" si="15"/>
        <v>404820</v>
      </c>
      <c r="E151">
        <f t="shared" si="16"/>
        <v>886.32432400000005</v>
      </c>
      <c r="F151">
        <f t="shared" si="17"/>
        <v>-21.324324000000047</v>
      </c>
      <c r="G151">
        <f t="shared" si="18"/>
        <v>454.72679405697801</v>
      </c>
      <c r="H151">
        <f t="shared" si="19"/>
        <v>-21.160399999999981</v>
      </c>
      <c r="I151">
        <f t="shared" si="20"/>
        <v>447.76252815999919</v>
      </c>
    </row>
    <row r="152" spans="1:9" x14ac:dyDescent="0.3">
      <c r="A152">
        <v>564</v>
      </c>
      <c r="B152">
        <v>1261</v>
      </c>
      <c r="C152">
        <f t="shared" si="14"/>
        <v>318096</v>
      </c>
      <c r="D152">
        <f t="shared" si="15"/>
        <v>711204</v>
      </c>
      <c r="E152">
        <f t="shared" si="16"/>
        <v>919.86125200000004</v>
      </c>
      <c r="F152">
        <f t="shared" si="17"/>
        <v>341.13874799999996</v>
      </c>
      <c r="G152">
        <f t="shared" si="18"/>
        <v>116375.64538700748</v>
      </c>
      <c r="H152">
        <f t="shared" si="19"/>
        <v>374.83960000000002</v>
      </c>
      <c r="I152">
        <f t="shared" si="20"/>
        <v>140504.72572816</v>
      </c>
    </row>
    <row r="153" spans="1:9" x14ac:dyDescent="0.3">
      <c r="A153">
        <v>275</v>
      </c>
      <c r="B153">
        <v>692</v>
      </c>
      <c r="C153">
        <f t="shared" si="14"/>
        <v>75625</v>
      </c>
      <c r="D153">
        <f t="shared" si="15"/>
        <v>190300</v>
      </c>
      <c r="E153">
        <f t="shared" si="16"/>
        <v>818.90112500000009</v>
      </c>
      <c r="F153">
        <f t="shared" si="17"/>
        <v>-126.90112500000009</v>
      </c>
      <c r="G153">
        <f t="shared" si="18"/>
        <v>16103.895526265649</v>
      </c>
      <c r="H153">
        <f t="shared" si="19"/>
        <v>-194.16039999999998</v>
      </c>
      <c r="I153">
        <f t="shared" si="20"/>
        <v>37698.260928159994</v>
      </c>
    </row>
    <row r="154" spans="1:9" x14ac:dyDescent="0.3">
      <c r="A154">
        <v>33</v>
      </c>
      <c r="B154">
        <v>279</v>
      </c>
      <c r="C154">
        <f t="shared" si="14"/>
        <v>1089</v>
      </c>
      <c r="D154">
        <f t="shared" si="15"/>
        <v>9207</v>
      </c>
      <c r="E154">
        <f t="shared" si="16"/>
        <v>734.36011900000005</v>
      </c>
      <c r="F154">
        <f t="shared" si="17"/>
        <v>-455.36011900000005</v>
      </c>
      <c r="G154">
        <f t="shared" si="18"/>
        <v>207352.83797569422</v>
      </c>
      <c r="H154">
        <f t="shared" si="19"/>
        <v>-607.16039999999998</v>
      </c>
      <c r="I154">
        <f t="shared" si="20"/>
        <v>368643.75132816</v>
      </c>
    </row>
    <row r="155" spans="1:9" x14ac:dyDescent="0.3">
      <c r="A155">
        <v>256</v>
      </c>
      <c r="B155">
        <v>1446</v>
      </c>
      <c r="C155">
        <f t="shared" si="14"/>
        <v>65536</v>
      </c>
      <c r="D155">
        <f t="shared" si="15"/>
        <v>370176</v>
      </c>
      <c r="E155">
        <f t="shared" si="16"/>
        <v>812.26360800000009</v>
      </c>
      <c r="F155">
        <f t="shared" si="17"/>
        <v>633.73639199999991</v>
      </c>
      <c r="G155">
        <f t="shared" si="18"/>
        <v>401621.81454517756</v>
      </c>
      <c r="H155">
        <f t="shared" si="19"/>
        <v>559.83960000000002</v>
      </c>
      <c r="I155">
        <f t="shared" si="20"/>
        <v>313420.37772816001</v>
      </c>
    </row>
    <row r="156" spans="1:9" x14ac:dyDescent="0.3">
      <c r="A156">
        <v>224</v>
      </c>
      <c r="B156">
        <v>469</v>
      </c>
      <c r="C156">
        <f t="shared" si="14"/>
        <v>50176</v>
      </c>
      <c r="D156">
        <f t="shared" si="15"/>
        <v>105056</v>
      </c>
      <c r="E156">
        <f t="shared" si="16"/>
        <v>801.08463200000006</v>
      </c>
      <c r="F156">
        <f t="shared" si="17"/>
        <v>-332.08463200000006</v>
      </c>
      <c r="G156">
        <f t="shared" si="18"/>
        <v>110280.20281057546</v>
      </c>
      <c r="H156">
        <f t="shared" si="19"/>
        <v>-417.16039999999998</v>
      </c>
      <c r="I156">
        <f t="shared" si="20"/>
        <v>174022.79932815998</v>
      </c>
    </row>
    <row r="157" spans="1:9" x14ac:dyDescent="0.3">
      <c r="A157">
        <v>1</v>
      </c>
      <c r="B157">
        <v>351</v>
      </c>
      <c r="C157">
        <f t="shared" si="14"/>
        <v>1</v>
      </c>
      <c r="D157">
        <f t="shared" si="15"/>
        <v>351</v>
      </c>
      <c r="E157">
        <f t="shared" si="16"/>
        <v>723.18114300000002</v>
      </c>
      <c r="F157">
        <f t="shared" si="17"/>
        <v>-372.18114300000002</v>
      </c>
      <c r="G157">
        <f t="shared" si="18"/>
        <v>138518.80320478647</v>
      </c>
      <c r="H157">
        <f t="shared" si="19"/>
        <v>-535.16039999999998</v>
      </c>
      <c r="I157">
        <f t="shared" si="20"/>
        <v>286396.65372815996</v>
      </c>
    </row>
    <row r="158" spans="1:9" x14ac:dyDescent="0.3">
      <c r="A158">
        <v>115</v>
      </c>
      <c r="B158">
        <v>276</v>
      </c>
      <c r="C158">
        <f t="shared" si="14"/>
        <v>13225</v>
      </c>
      <c r="D158">
        <f t="shared" si="15"/>
        <v>31740</v>
      </c>
      <c r="E158">
        <f t="shared" si="16"/>
        <v>763.00624500000004</v>
      </c>
      <c r="F158">
        <f t="shared" si="17"/>
        <v>-487.00624500000004</v>
      </c>
      <c r="G158">
        <f t="shared" si="18"/>
        <v>237175.08266900005</v>
      </c>
      <c r="H158">
        <f t="shared" si="19"/>
        <v>-610.16039999999998</v>
      </c>
      <c r="I158">
        <f t="shared" si="20"/>
        <v>372295.71372815996</v>
      </c>
    </row>
    <row r="159" spans="1:9" x14ac:dyDescent="0.3">
      <c r="A159">
        <v>274</v>
      </c>
      <c r="B159">
        <v>1042</v>
      </c>
      <c r="C159">
        <f t="shared" si="14"/>
        <v>75076</v>
      </c>
      <c r="D159">
        <f t="shared" si="15"/>
        <v>285508</v>
      </c>
      <c r="E159">
        <f t="shared" si="16"/>
        <v>818.551782</v>
      </c>
      <c r="F159">
        <f t="shared" si="17"/>
        <v>223.448218</v>
      </c>
      <c r="G159">
        <f t="shared" si="18"/>
        <v>49929.106127375526</v>
      </c>
      <c r="H159">
        <f t="shared" si="19"/>
        <v>155.83960000000002</v>
      </c>
      <c r="I159">
        <f t="shared" si="20"/>
        <v>24285.980928160006</v>
      </c>
    </row>
    <row r="160" spans="1:9" x14ac:dyDescent="0.3">
      <c r="A160">
        <v>137</v>
      </c>
      <c r="B160">
        <v>496</v>
      </c>
      <c r="C160">
        <f t="shared" si="14"/>
        <v>18769</v>
      </c>
      <c r="D160">
        <f t="shared" si="15"/>
        <v>67952</v>
      </c>
      <c r="E160">
        <f t="shared" si="16"/>
        <v>770.69179100000008</v>
      </c>
      <c r="F160">
        <f t="shared" si="17"/>
        <v>-274.69179100000008</v>
      </c>
      <c r="G160">
        <f t="shared" si="18"/>
        <v>75455.580042787726</v>
      </c>
      <c r="H160">
        <f t="shared" si="19"/>
        <v>-390.16039999999998</v>
      </c>
      <c r="I160">
        <f t="shared" si="20"/>
        <v>152225.13772815999</v>
      </c>
    </row>
    <row r="161" spans="1:9" x14ac:dyDescent="0.3">
      <c r="A161">
        <v>1019</v>
      </c>
      <c r="B161">
        <v>1171</v>
      </c>
      <c r="C161">
        <f t="shared" si="14"/>
        <v>1038361</v>
      </c>
      <c r="D161">
        <f t="shared" si="15"/>
        <v>1193249</v>
      </c>
      <c r="E161">
        <f t="shared" si="16"/>
        <v>1078.8123170000001</v>
      </c>
      <c r="F161">
        <f t="shared" si="17"/>
        <v>92.187682999999879</v>
      </c>
      <c r="G161">
        <f t="shared" si="18"/>
        <v>8498.5688969084658</v>
      </c>
      <c r="H161">
        <f t="shared" si="19"/>
        <v>284.83960000000002</v>
      </c>
      <c r="I161">
        <f t="shared" si="20"/>
        <v>81133.597728160006</v>
      </c>
    </row>
    <row r="162" spans="1:9" x14ac:dyDescent="0.3">
      <c r="A162">
        <v>50</v>
      </c>
      <c r="B162">
        <v>453</v>
      </c>
      <c r="C162">
        <f t="shared" si="14"/>
        <v>2500</v>
      </c>
      <c r="D162">
        <f t="shared" si="15"/>
        <v>22650</v>
      </c>
      <c r="E162">
        <f t="shared" si="16"/>
        <v>740.29894999999999</v>
      </c>
      <c r="F162">
        <f t="shared" si="17"/>
        <v>-287.29894999999999</v>
      </c>
      <c r="G162">
        <f t="shared" si="18"/>
        <v>82540.686671102492</v>
      </c>
      <c r="H162">
        <f t="shared" si="19"/>
        <v>-433.16039999999998</v>
      </c>
      <c r="I162">
        <f t="shared" si="20"/>
        <v>187627.93212815997</v>
      </c>
    </row>
    <row r="163" spans="1:9" x14ac:dyDescent="0.3">
      <c r="A163">
        <v>439</v>
      </c>
      <c r="B163">
        <v>648</v>
      </c>
      <c r="C163">
        <f t="shared" si="14"/>
        <v>192721</v>
      </c>
      <c r="D163">
        <f t="shared" si="15"/>
        <v>284472</v>
      </c>
      <c r="E163">
        <f t="shared" si="16"/>
        <v>876.19337700000005</v>
      </c>
      <c r="F163">
        <f t="shared" si="17"/>
        <v>-228.19337700000005</v>
      </c>
      <c r="G163">
        <f t="shared" si="18"/>
        <v>52072.217306664155</v>
      </c>
      <c r="H163">
        <f t="shared" si="19"/>
        <v>-238.16039999999998</v>
      </c>
      <c r="I163">
        <f t="shared" si="20"/>
        <v>56720.376128159995</v>
      </c>
    </row>
    <row r="164" spans="1:9" x14ac:dyDescent="0.3">
      <c r="A164">
        <v>286</v>
      </c>
      <c r="B164">
        <v>1088</v>
      </c>
      <c r="C164">
        <f t="shared" si="14"/>
        <v>81796</v>
      </c>
      <c r="D164">
        <f t="shared" si="15"/>
        <v>311168</v>
      </c>
      <c r="E164">
        <f t="shared" si="16"/>
        <v>822.74389800000006</v>
      </c>
      <c r="F164">
        <f t="shared" si="17"/>
        <v>265.25610199999994</v>
      </c>
      <c r="G164">
        <f t="shared" si="18"/>
        <v>70360.799648234373</v>
      </c>
      <c r="H164">
        <f t="shared" si="19"/>
        <v>201.83960000000002</v>
      </c>
      <c r="I164">
        <f t="shared" si="20"/>
        <v>40739.224128160007</v>
      </c>
    </row>
    <row r="165" spans="1:9" x14ac:dyDescent="0.3">
      <c r="A165">
        <v>96</v>
      </c>
      <c r="B165">
        <v>789</v>
      </c>
      <c r="C165">
        <f t="shared" si="14"/>
        <v>9216</v>
      </c>
      <c r="D165">
        <f t="shared" si="15"/>
        <v>75744</v>
      </c>
      <c r="E165">
        <f t="shared" si="16"/>
        <v>756.36872800000003</v>
      </c>
      <c r="F165">
        <f t="shared" si="17"/>
        <v>32.631271999999967</v>
      </c>
      <c r="G165">
        <f t="shared" si="18"/>
        <v>1064.7999123379818</v>
      </c>
      <c r="H165">
        <f t="shared" si="19"/>
        <v>-97.160399999999981</v>
      </c>
      <c r="I165">
        <f t="shared" si="20"/>
        <v>9440.1433281599966</v>
      </c>
    </row>
    <row r="166" spans="1:9" x14ac:dyDescent="0.3">
      <c r="A166">
        <v>423</v>
      </c>
      <c r="B166">
        <v>1123</v>
      </c>
      <c r="C166">
        <f t="shared" si="14"/>
        <v>178929</v>
      </c>
      <c r="D166">
        <f t="shared" si="15"/>
        <v>475029</v>
      </c>
      <c r="E166">
        <f t="shared" si="16"/>
        <v>870.60388899999998</v>
      </c>
      <c r="F166">
        <f t="shared" si="17"/>
        <v>252.39611100000002</v>
      </c>
      <c r="G166">
        <f t="shared" si="18"/>
        <v>63703.796847924328</v>
      </c>
      <c r="H166">
        <f t="shared" si="19"/>
        <v>236.83960000000002</v>
      </c>
      <c r="I166">
        <f t="shared" si="20"/>
        <v>56092.996128160012</v>
      </c>
    </row>
    <row r="167" spans="1:9" x14ac:dyDescent="0.3">
      <c r="A167">
        <v>108</v>
      </c>
      <c r="B167">
        <v>1064</v>
      </c>
      <c r="C167">
        <f t="shared" si="14"/>
        <v>11664</v>
      </c>
      <c r="D167">
        <f t="shared" si="15"/>
        <v>114912</v>
      </c>
      <c r="E167">
        <f t="shared" si="16"/>
        <v>760.56084400000009</v>
      </c>
      <c r="F167">
        <f t="shared" si="17"/>
        <v>303.43915599999991</v>
      </c>
      <c r="G167">
        <f t="shared" si="18"/>
        <v>92075.321393992286</v>
      </c>
      <c r="H167">
        <f t="shared" si="19"/>
        <v>177.83960000000002</v>
      </c>
      <c r="I167">
        <f t="shared" si="20"/>
        <v>31626.923328160006</v>
      </c>
    </row>
    <row r="168" spans="1:9" x14ac:dyDescent="0.3">
      <c r="A168">
        <v>48</v>
      </c>
      <c r="B168">
        <v>744</v>
      </c>
      <c r="C168">
        <f t="shared" si="14"/>
        <v>2304</v>
      </c>
      <c r="D168">
        <f t="shared" si="15"/>
        <v>35712</v>
      </c>
      <c r="E168">
        <f t="shared" si="16"/>
        <v>739.60026400000004</v>
      </c>
      <c r="F168">
        <f t="shared" si="17"/>
        <v>4.3997359999999617</v>
      </c>
      <c r="G168">
        <f t="shared" si="18"/>
        <v>19.357676869695663</v>
      </c>
      <c r="H168">
        <f t="shared" si="19"/>
        <v>-142.16039999999998</v>
      </c>
      <c r="I168">
        <f t="shared" si="20"/>
        <v>20209.579328159994</v>
      </c>
    </row>
    <row r="169" spans="1:9" x14ac:dyDescent="0.3">
      <c r="A169">
        <v>605</v>
      </c>
      <c r="B169">
        <v>1296</v>
      </c>
      <c r="C169">
        <f t="shared" si="14"/>
        <v>366025</v>
      </c>
      <c r="D169">
        <f t="shared" si="15"/>
        <v>784080</v>
      </c>
      <c r="E169">
        <f t="shared" si="16"/>
        <v>934.18431500000008</v>
      </c>
      <c r="F169">
        <f t="shared" si="17"/>
        <v>361.81568499999992</v>
      </c>
      <c r="G169">
        <f t="shared" si="18"/>
        <v>130910.58991201916</v>
      </c>
      <c r="H169">
        <f t="shared" si="19"/>
        <v>409.83960000000002</v>
      </c>
      <c r="I169">
        <f t="shared" si="20"/>
        <v>167968.49772816003</v>
      </c>
    </row>
    <row r="170" spans="1:9" x14ac:dyDescent="0.3">
      <c r="A170">
        <v>177</v>
      </c>
      <c r="B170">
        <v>753</v>
      </c>
      <c r="C170">
        <f t="shared" si="14"/>
        <v>31329</v>
      </c>
      <c r="D170">
        <f t="shared" si="15"/>
        <v>133281</v>
      </c>
      <c r="E170">
        <f t="shared" si="16"/>
        <v>784.66551100000004</v>
      </c>
      <c r="F170">
        <f t="shared" si="17"/>
        <v>-31.665511000000038</v>
      </c>
      <c r="G170">
        <f t="shared" si="18"/>
        <v>1002.7045868911234</v>
      </c>
      <c r="H170">
        <f t="shared" si="19"/>
        <v>-133.16039999999998</v>
      </c>
      <c r="I170">
        <f t="shared" si="20"/>
        <v>17731.692128159993</v>
      </c>
    </row>
    <row r="171" spans="1:9" x14ac:dyDescent="0.3">
      <c r="A171">
        <v>142</v>
      </c>
      <c r="B171">
        <v>774</v>
      </c>
      <c r="C171">
        <f t="shared" si="14"/>
        <v>20164</v>
      </c>
      <c r="D171">
        <f t="shared" si="15"/>
        <v>109908</v>
      </c>
      <c r="E171">
        <f t="shared" si="16"/>
        <v>772.43850600000007</v>
      </c>
      <c r="F171">
        <f t="shared" si="17"/>
        <v>1.5614939999999251</v>
      </c>
      <c r="G171">
        <f t="shared" si="18"/>
        <v>2.4382635120357663</v>
      </c>
      <c r="H171">
        <f t="shared" si="19"/>
        <v>-112.16039999999998</v>
      </c>
      <c r="I171">
        <f t="shared" si="20"/>
        <v>12579.955328159996</v>
      </c>
    </row>
    <row r="172" spans="1:9" x14ac:dyDescent="0.3">
      <c r="A172">
        <v>45</v>
      </c>
      <c r="B172">
        <v>623</v>
      </c>
      <c r="C172">
        <f t="shared" si="14"/>
        <v>2025</v>
      </c>
      <c r="D172">
        <f t="shared" si="15"/>
        <v>28035</v>
      </c>
      <c r="E172">
        <f t="shared" si="16"/>
        <v>738.552235</v>
      </c>
      <c r="F172">
        <f t="shared" si="17"/>
        <v>-115.552235</v>
      </c>
      <c r="G172">
        <f t="shared" si="18"/>
        <v>13352.319013495224</v>
      </c>
      <c r="H172">
        <f t="shared" si="19"/>
        <v>-263.16039999999998</v>
      </c>
      <c r="I172">
        <f t="shared" si="20"/>
        <v>69253.396128159991</v>
      </c>
    </row>
    <row r="173" spans="1:9" x14ac:dyDescent="0.3">
      <c r="A173">
        <v>1644</v>
      </c>
      <c r="B173">
        <v>1368</v>
      </c>
      <c r="C173">
        <f t="shared" si="14"/>
        <v>2702736</v>
      </c>
      <c r="D173">
        <f t="shared" si="15"/>
        <v>2248992</v>
      </c>
      <c r="E173">
        <f t="shared" si="16"/>
        <v>1297.1516919999999</v>
      </c>
      <c r="F173">
        <f t="shared" si="17"/>
        <v>70.848308000000088</v>
      </c>
      <c r="G173">
        <f t="shared" si="18"/>
        <v>5019.4827464628761</v>
      </c>
      <c r="H173">
        <f t="shared" si="19"/>
        <v>481.83960000000002</v>
      </c>
      <c r="I173">
        <f t="shared" si="20"/>
        <v>232169.40012816002</v>
      </c>
    </row>
    <row r="174" spans="1:9" x14ac:dyDescent="0.3">
      <c r="A174">
        <v>599</v>
      </c>
      <c r="B174">
        <v>1433</v>
      </c>
      <c r="C174">
        <f t="shared" si="14"/>
        <v>358801</v>
      </c>
      <c r="D174">
        <f t="shared" si="15"/>
        <v>858367</v>
      </c>
      <c r="E174">
        <f t="shared" si="16"/>
        <v>932.08825700000011</v>
      </c>
      <c r="F174">
        <f t="shared" si="17"/>
        <v>500.91174299999989</v>
      </c>
      <c r="G174">
        <f t="shared" si="18"/>
        <v>250912.57427529793</v>
      </c>
      <c r="H174">
        <f t="shared" si="19"/>
        <v>546.83960000000002</v>
      </c>
      <c r="I174">
        <f t="shared" si="20"/>
        <v>299033.54812816001</v>
      </c>
    </row>
    <row r="175" spans="1:9" x14ac:dyDescent="0.3">
      <c r="A175">
        <v>158</v>
      </c>
      <c r="B175">
        <v>562</v>
      </c>
      <c r="C175">
        <f t="shared" si="14"/>
        <v>24964</v>
      </c>
      <c r="D175">
        <f t="shared" si="15"/>
        <v>88796</v>
      </c>
      <c r="E175">
        <f t="shared" si="16"/>
        <v>778.02799400000004</v>
      </c>
      <c r="F175">
        <f t="shared" si="17"/>
        <v>-216.02799400000004</v>
      </c>
      <c r="G175">
        <f t="shared" si="18"/>
        <v>46668.094191664051</v>
      </c>
      <c r="H175">
        <f t="shared" si="19"/>
        <v>-324.16039999999998</v>
      </c>
      <c r="I175">
        <f t="shared" si="20"/>
        <v>105079.96492815998</v>
      </c>
    </row>
    <row r="176" spans="1:9" x14ac:dyDescent="0.3">
      <c r="A176">
        <v>119</v>
      </c>
      <c r="B176">
        <v>911</v>
      </c>
      <c r="C176">
        <f t="shared" si="14"/>
        <v>14161</v>
      </c>
      <c r="D176">
        <f t="shared" si="15"/>
        <v>108409</v>
      </c>
      <c r="E176">
        <f t="shared" si="16"/>
        <v>764.40361700000005</v>
      </c>
      <c r="F176">
        <f t="shared" si="17"/>
        <v>146.59638299999995</v>
      </c>
      <c r="G176">
        <f t="shared" si="18"/>
        <v>21490.499508682675</v>
      </c>
      <c r="H176">
        <f t="shared" si="19"/>
        <v>24.839600000000019</v>
      </c>
      <c r="I176">
        <f t="shared" si="20"/>
        <v>617.0057281600009</v>
      </c>
    </row>
    <row r="177" spans="1:9" x14ac:dyDescent="0.3">
      <c r="A177">
        <v>180</v>
      </c>
      <c r="B177">
        <v>931</v>
      </c>
      <c r="C177">
        <f t="shared" si="14"/>
        <v>32400</v>
      </c>
      <c r="D177">
        <f t="shared" si="15"/>
        <v>167580</v>
      </c>
      <c r="E177">
        <f t="shared" si="16"/>
        <v>785.71354000000008</v>
      </c>
      <c r="F177">
        <f t="shared" si="17"/>
        <v>145.28645999999992</v>
      </c>
      <c r="G177">
        <f t="shared" si="18"/>
        <v>21108.155459331578</v>
      </c>
      <c r="H177">
        <f t="shared" si="19"/>
        <v>44.839600000000019</v>
      </c>
      <c r="I177">
        <f t="shared" si="20"/>
        <v>2010.5897281600016</v>
      </c>
    </row>
    <row r="178" spans="1:9" x14ac:dyDescent="0.3">
      <c r="A178">
        <v>76</v>
      </c>
      <c r="B178">
        <v>283</v>
      </c>
      <c r="C178">
        <f t="shared" si="14"/>
        <v>5776</v>
      </c>
      <c r="D178">
        <f t="shared" si="15"/>
        <v>21508</v>
      </c>
      <c r="E178">
        <f t="shared" si="16"/>
        <v>749.38186800000005</v>
      </c>
      <c r="F178">
        <f t="shared" si="17"/>
        <v>-466.38186800000005</v>
      </c>
      <c r="G178">
        <f t="shared" si="18"/>
        <v>217512.04679916947</v>
      </c>
      <c r="H178">
        <f t="shared" si="19"/>
        <v>-603.16039999999998</v>
      </c>
      <c r="I178">
        <f t="shared" si="20"/>
        <v>363802.46812815999</v>
      </c>
    </row>
    <row r="179" spans="1:9" x14ac:dyDescent="0.3">
      <c r="A179">
        <v>20</v>
      </c>
      <c r="B179">
        <v>672</v>
      </c>
      <c r="C179">
        <f t="shared" si="14"/>
        <v>400</v>
      </c>
      <c r="D179">
        <f t="shared" si="15"/>
        <v>13440</v>
      </c>
      <c r="E179">
        <f t="shared" si="16"/>
        <v>729.81866000000002</v>
      </c>
      <c r="F179">
        <f t="shared" si="17"/>
        <v>-57.818660000000023</v>
      </c>
      <c r="G179">
        <f t="shared" si="18"/>
        <v>3342.9974441956028</v>
      </c>
      <c r="H179">
        <f t="shared" si="19"/>
        <v>-214.16039999999998</v>
      </c>
      <c r="I179">
        <f t="shared" si="20"/>
        <v>45864.676928159992</v>
      </c>
    </row>
    <row r="180" spans="1:9" x14ac:dyDescent="0.3">
      <c r="A180">
        <v>282</v>
      </c>
      <c r="B180">
        <v>380</v>
      </c>
      <c r="C180">
        <f t="shared" si="14"/>
        <v>79524</v>
      </c>
      <c r="D180">
        <f t="shared" si="15"/>
        <v>107160</v>
      </c>
      <c r="E180">
        <f t="shared" si="16"/>
        <v>821.34652600000004</v>
      </c>
      <c r="F180">
        <f t="shared" si="17"/>
        <v>-441.34652600000004</v>
      </c>
      <c r="G180">
        <f t="shared" si="18"/>
        <v>194786.75601226871</v>
      </c>
      <c r="H180">
        <f t="shared" si="19"/>
        <v>-506.16039999999998</v>
      </c>
      <c r="I180">
        <f t="shared" si="20"/>
        <v>256198.35052815999</v>
      </c>
    </row>
    <row r="181" spans="1:9" x14ac:dyDescent="0.3">
      <c r="A181">
        <v>320</v>
      </c>
      <c r="B181">
        <v>1137</v>
      </c>
      <c r="C181">
        <f t="shared" si="14"/>
        <v>102400</v>
      </c>
      <c r="D181">
        <f t="shared" si="15"/>
        <v>363840</v>
      </c>
      <c r="E181">
        <f t="shared" si="16"/>
        <v>834.62156000000004</v>
      </c>
      <c r="F181">
        <f t="shared" si="17"/>
        <v>302.37843999999996</v>
      </c>
      <c r="G181">
        <f t="shared" si="18"/>
        <v>91432.720976833574</v>
      </c>
      <c r="H181">
        <f t="shared" si="19"/>
        <v>250.83960000000002</v>
      </c>
      <c r="I181">
        <f t="shared" si="20"/>
        <v>62920.504928160008</v>
      </c>
    </row>
    <row r="182" spans="1:9" x14ac:dyDescent="0.3">
      <c r="A182">
        <v>3</v>
      </c>
      <c r="B182">
        <v>913</v>
      </c>
      <c r="C182">
        <f t="shared" si="14"/>
        <v>9</v>
      </c>
      <c r="D182">
        <f t="shared" si="15"/>
        <v>2739</v>
      </c>
      <c r="E182">
        <f t="shared" si="16"/>
        <v>723.87982900000009</v>
      </c>
      <c r="F182">
        <f t="shared" si="17"/>
        <v>189.12017099999991</v>
      </c>
      <c r="G182">
        <f t="shared" si="18"/>
        <v>35766.439079069205</v>
      </c>
      <c r="H182">
        <f t="shared" si="19"/>
        <v>26.839600000000019</v>
      </c>
      <c r="I182">
        <f t="shared" si="20"/>
        <v>720.36412816000097</v>
      </c>
    </row>
    <row r="183" spans="1:9" x14ac:dyDescent="0.3">
      <c r="A183">
        <v>300</v>
      </c>
      <c r="B183">
        <v>946</v>
      </c>
      <c r="C183">
        <f t="shared" si="14"/>
        <v>90000</v>
      </c>
      <c r="D183">
        <f t="shared" si="15"/>
        <v>283800</v>
      </c>
      <c r="E183">
        <f t="shared" si="16"/>
        <v>827.63470000000007</v>
      </c>
      <c r="F183">
        <f t="shared" si="17"/>
        <v>118.36529999999993</v>
      </c>
      <c r="G183">
        <f t="shared" si="18"/>
        <v>14010.344244089983</v>
      </c>
      <c r="H183">
        <f t="shared" si="19"/>
        <v>59.839600000000019</v>
      </c>
      <c r="I183">
        <f t="shared" si="20"/>
        <v>3580.7777281600024</v>
      </c>
    </row>
    <row r="184" spans="1:9" x14ac:dyDescent="0.3">
      <c r="A184">
        <v>283</v>
      </c>
      <c r="B184">
        <v>929</v>
      </c>
      <c r="C184">
        <f t="shared" si="14"/>
        <v>80089</v>
      </c>
      <c r="D184">
        <f t="shared" si="15"/>
        <v>262907</v>
      </c>
      <c r="E184">
        <f t="shared" si="16"/>
        <v>821.69586900000002</v>
      </c>
      <c r="F184">
        <f t="shared" si="17"/>
        <v>107.30413099999998</v>
      </c>
      <c r="G184">
        <f t="shared" si="18"/>
        <v>11514.176529665157</v>
      </c>
      <c r="H184">
        <f t="shared" si="19"/>
        <v>42.839600000000019</v>
      </c>
      <c r="I184">
        <f t="shared" si="20"/>
        <v>1835.2313281600016</v>
      </c>
    </row>
    <row r="185" spans="1:9" x14ac:dyDescent="0.3">
      <c r="A185">
        <v>135</v>
      </c>
      <c r="B185">
        <v>441</v>
      </c>
      <c r="C185">
        <f t="shared" si="14"/>
        <v>18225</v>
      </c>
      <c r="D185">
        <f t="shared" si="15"/>
        <v>59535</v>
      </c>
      <c r="E185">
        <f t="shared" si="16"/>
        <v>769.99310500000001</v>
      </c>
      <c r="F185">
        <f t="shared" si="17"/>
        <v>-328.99310500000001</v>
      </c>
      <c r="G185">
        <f t="shared" si="18"/>
        <v>108236.46313754104</v>
      </c>
      <c r="H185">
        <f t="shared" si="19"/>
        <v>-445.16039999999998</v>
      </c>
      <c r="I185">
        <f t="shared" si="20"/>
        <v>198167.78172815999</v>
      </c>
    </row>
    <row r="186" spans="1:9" x14ac:dyDescent="0.3">
      <c r="A186">
        <v>595</v>
      </c>
      <c r="B186">
        <v>1099</v>
      </c>
      <c r="C186">
        <f t="shared" si="14"/>
        <v>354025</v>
      </c>
      <c r="D186">
        <f t="shared" si="15"/>
        <v>653905</v>
      </c>
      <c r="E186">
        <f t="shared" si="16"/>
        <v>930.69088500000009</v>
      </c>
      <c r="F186">
        <f t="shared" si="17"/>
        <v>168.30911499999991</v>
      </c>
      <c r="G186">
        <f t="shared" si="18"/>
        <v>28327.958192083195</v>
      </c>
      <c r="H186">
        <f t="shared" si="19"/>
        <v>212.83960000000002</v>
      </c>
      <c r="I186">
        <f t="shared" si="20"/>
        <v>45300.695328160007</v>
      </c>
    </row>
    <row r="187" spans="1:9" x14ac:dyDescent="0.3">
      <c r="A187">
        <v>211</v>
      </c>
      <c r="B187">
        <v>359</v>
      </c>
      <c r="C187">
        <f t="shared" si="14"/>
        <v>44521</v>
      </c>
      <c r="D187">
        <f t="shared" si="15"/>
        <v>75749</v>
      </c>
      <c r="E187">
        <f t="shared" si="16"/>
        <v>796.54317300000002</v>
      </c>
      <c r="F187">
        <f t="shared" si="17"/>
        <v>-437.54317300000002</v>
      </c>
      <c r="G187">
        <f t="shared" si="18"/>
        <v>191444.02823890795</v>
      </c>
      <c r="H187">
        <f t="shared" si="19"/>
        <v>-527.16039999999998</v>
      </c>
      <c r="I187">
        <f t="shared" si="20"/>
        <v>277898.08732816001</v>
      </c>
    </row>
    <row r="188" spans="1:9" x14ac:dyDescent="0.3">
      <c r="A188">
        <v>48</v>
      </c>
      <c r="B188">
        <v>1086</v>
      </c>
      <c r="C188">
        <f t="shared" si="14"/>
        <v>2304</v>
      </c>
      <c r="D188">
        <f t="shared" si="15"/>
        <v>52128</v>
      </c>
      <c r="E188">
        <f t="shared" si="16"/>
        <v>739.60026400000004</v>
      </c>
      <c r="F188">
        <f t="shared" si="17"/>
        <v>346.39973599999996</v>
      </c>
      <c r="G188">
        <f t="shared" si="18"/>
        <v>119992.77710086967</v>
      </c>
      <c r="H188">
        <f t="shared" si="19"/>
        <v>199.83960000000002</v>
      </c>
      <c r="I188">
        <f t="shared" si="20"/>
        <v>39935.86572816001</v>
      </c>
    </row>
    <row r="189" spans="1:9" x14ac:dyDescent="0.3">
      <c r="A189">
        <v>77</v>
      </c>
      <c r="B189">
        <v>316</v>
      </c>
      <c r="C189">
        <f t="shared" si="14"/>
        <v>5929</v>
      </c>
      <c r="D189">
        <f t="shared" si="15"/>
        <v>24332</v>
      </c>
      <c r="E189">
        <f t="shared" si="16"/>
        <v>749.73121100000003</v>
      </c>
      <c r="F189">
        <f t="shared" si="17"/>
        <v>-433.73121100000003</v>
      </c>
      <c r="G189">
        <f t="shared" si="18"/>
        <v>188122.76339552653</v>
      </c>
      <c r="H189">
        <f t="shared" si="19"/>
        <v>-570.16039999999998</v>
      </c>
      <c r="I189">
        <f t="shared" si="20"/>
        <v>325082.88172815996</v>
      </c>
    </row>
    <row r="190" spans="1:9" x14ac:dyDescent="0.3">
      <c r="A190">
        <v>258</v>
      </c>
      <c r="B190">
        <v>891</v>
      </c>
      <c r="C190">
        <f t="shared" si="14"/>
        <v>66564</v>
      </c>
      <c r="D190">
        <f t="shared" si="15"/>
        <v>229878</v>
      </c>
      <c r="E190">
        <f t="shared" si="16"/>
        <v>812.96229400000004</v>
      </c>
      <c r="F190">
        <f t="shared" si="17"/>
        <v>78.037705999999957</v>
      </c>
      <c r="G190">
        <f t="shared" si="18"/>
        <v>6089.8835577424297</v>
      </c>
      <c r="H190">
        <f t="shared" si="19"/>
        <v>4.8396000000000186</v>
      </c>
      <c r="I190">
        <f t="shared" si="20"/>
        <v>23.421728160000178</v>
      </c>
    </row>
    <row r="191" spans="1:9" x14ac:dyDescent="0.3">
      <c r="A191">
        <v>206</v>
      </c>
      <c r="B191">
        <v>810</v>
      </c>
      <c r="C191">
        <f t="shared" si="14"/>
        <v>42436</v>
      </c>
      <c r="D191">
        <f t="shared" si="15"/>
        <v>166860</v>
      </c>
      <c r="E191">
        <f t="shared" si="16"/>
        <v>794.79645800000003</v>
      </c>
      <c r="F191">
        <f t="shared" si="17"/>
        <v>15.20354199999997</v>
      </c>
      <c r="G191">
        <f t="shared" si="18"/>
        <v>231.1476893457631</v>
      </c>
      <c r="H191">
        <f t="shared" si="19"/>
        <v>-76.160399999999981</v>
      </c>
      <c r="I191">
        <f t="shared" si="20"/>
        <v>5800.4065281599969</v>
      </c>
    </row>
    <row r="192" spans="1:9" x14ac:dyDescent="0.3">
      <c r="A192">
        <v>958</v>
      </c>
      <c r="B192">
        <v>1639</v>
      </c>
      <c r="C192">
        <f t="shared" si="14"/>
        <v>917764</v>
      </c>
      <c r="D192">
        <f t="shared" si="15"/>
        <v>1570162</v>
      </c>
      <c r="E192">
        <f t="shared" si="16"/>
        <v>1057.5023940000001</v>
      </c>
      <c r="F192">
        <f t="shared" si="17"/>
        <v>581.49760599999991</v>
      </c>
      <c r="G192">
        <f t="shared" si="18"/>
        <v>338139.46578373114</v>
      </c>
      <c r="H192">
        <f t="shared" si="19"/>
        <v>752.83960000000002</v>
      </c>
      <c r="I192">
        <f t="shared" si="20"/>
        <v>566767.46332816</v>
      </c>
    </row>
    <row r="193" spans="1:9" x14ac:dyDescent="0.3">
      <c r="A193">
        <v>12</v>
      </c>
      <c r="B193">
        <v>577</v>
      </c>
      <c r="C193">
        <f t="shared" si="14"/>
        <v>144</v>
      </c>
      <c r="D193">
        <f t="shared" si="15"/>
        <v>6924</v>
      </c>
      <c r="E193">
        <f t="shared" si="16"/>
        <v>727.0239160000001</v>
      </c>
      <c r="F193">
        <f t="shared" si="17"/>
        <v>-150.0239160000001</v>
      </c>
      <c r="G193">
        <f t="shared" si="18"/>
        <v>22507.175371975085</v>
      </c>
      <c r="H193">
        <f t="shared" si="19"/>
        <v>-309.16039999999998</v>
      </c>
      <c r="I193">
        <f t="shared" si="20"/>
        <v>95580.152928159994</v>
      </c>
    </row>
    <row r="194" spans="1:9" x14ac:dyDescent="0.3">
      <c r="A194">
        <v>349</v>
      </c>
      <c r="B194">
        <v>922</v>
      </c>
      <c r="C194">
        <f t="shared" si="14"/>
        <v>121801</v>
      </c>
      <c r="D194">
        <f t="shared" si="15"/>
        <v>321778</v>
      </c>
      <c r="E194">
        <f t="shared" si="16"/>
        <v>844.75250700000004</v>
      </c>
      <c r="F194">
        <f t="shared" si="17"/>
        <v>77.247492999999963</v>
      </c>
      <c r="G194">
        <f t="shared" si="18"/>
        <v>5967.1751747850431</v>
      </c>
      <c r="H194">
        <f t="shared" si="19"/>
        <v>35.839600000000019</v>
      </c>
      <c r="I194">
        <f t="shared" si="20"/>
        <v>1284.4769281600013</v>
      </c>
    </row>
    <row r="195" spans="1:9" x14ac:dyDescent="0.3">
      <c r="A195">
        <v>1219</v>
      </c>
      <c r="B195">
        <v>944</v>
      </c>
      <c r="C195">
        <f t="shared" ref="C195:C258" si="21">PRODUCT(A195,A195)</f>
        <v>1485961</v>
      </c>
      <c r="D195">
        <f t="shared" ref="D195:D258" si="22">PRODUCT(A195,B195)</f>
        <v>1150736</v>
      </c>
      <c r="E195">
        <f t="shared" ref="E195:E258" si="23">722.8318+PRODUCT(0.349343,A195)</f>
        <v>1148.6809170000001</v>
      </c>
      <c r="F195">
        <f t="shared" ref="F195:F258" si="24">B195-E195</f>
        <v>-204.68091700000014</v>
      </c>
      <c r="G195">
        <f t="shared" ref="G195:G258" si="25">PRODUCT(F195,F195)</f>
        <v>41894.277783960948</v>
      </c>
      <c r="H195">
        <f t="shared" ref="H195:H258" si="26">B195-886.1604</f>
        <v>57.839600000000019</v>
      </c>
      <c r="I195">
        <f t="shared" ref="I195:I258" si="27">PRODUCT(H195,H195)</f>
        <v>3345.4193281600024</v>
      </c>
    </row>
    <row r="196" spans="1:9" x14ac:dyDescent="0.3">
      <c r="A196">
        <v>92</v>
      </c>
      <c r="B196">
        <v>827</v>
      </c>
      <c r="C196">
        <f t="shared" si="21"/>
        <v>8464</v>
      </c>
      <c r="D196">
        <f t="shared" si="22"/>
        <v>76084</v>
      </c>
      <c r="E196">
        <f t="shared" si="23"/>
        <v>754.97135600000001</v>
      </c>
      <c r="F196">
        <f t="shared" si="24"/>
        <v>72.028643999999986</v>
      </c>
      <c r="G196">
        <f t="shared" si="25"/>
        <v>5188.1255564787343</v>
      </c>
      <c r="H196">
        <f t="shared" si="26"/>
        <v>-59.160399999999981</v>
      </c>
      <c r="I196">
        <f t="shared" si="27"/>
        <v>3499.952928159998</v>
      </c>
    </row>
    <row r="197" spans="1:9" x14ac:dyDescent="0.3">
      <c r="A197">
        <v>1370</v>
      </c>
      <c r="B197">
        <v>1162</v>
      </c>
      <c r="C197">
        <f t="shared" si="21"/>
        <v>1876900</v>
      </c>
      <c r="D197">
        <f t="shared" si="22"/>
        <v>1591940</v>
      </c>
      <c r="E197">
        <f t="shared" si="23"/>
        <v>1201.4317100000001</v>
      </c>
      <c r="F197">
        <f t="shared" si="24"/>
        <v>-39.431710000000066</v>
      </c>
      <c r="G197">
        <f t="shared" si="25"/>
        <v>1554.8597535241051</v>
      </c>
      <c r="H197">
        <f t="shared" si="26"/>
        <v>275.83960000000002</v>
      </c>
      <c r="I197">
        <f t="shared" si="27"/>
        <v>76087.484928160004</v>
      </c>
    </row>
    <row r="198" spans="1:9" x14ac:dyDescent="0.3">
      <c r="A198">
        <v>612</v>
      </c>
      <c r="B198">
        <v>1007</v>
      </c>
      <c r="C198">
        <f t="shared" si="21"/>
        <v>374544</v>
      </c>
      <c r="D198">
        <f t="shared" si="22"/>
        <v>616284</v>
      </c>
      <c r="E198">
        <f t="shared" si="23"/>
        <v>936.62971600000003</v>
      </c>
      <c r="F198">
        <f t="shared" si="24"/>
        <v>70.37028399999997</v>
      </c>
      <c r="G198">
        <f t="shared" si="25"/>
        <v>4951.9768702406518</v>
      </c>
      <c r="H198">
        <f t="shared" si="26"/>
        <v>120.83960000000002</v>
      </c>
      <c r="I198">
        <f t="shared" si="27"/>
        <v>14602.208928160004</v>
      </c>
    </row>
    <row r="199" spans="1:9" x14ac:dyDescent="0.3">
      <c r="A199">
        <v>62</v>
      </c>
      <c r="B199">
        <v>723</v>
      </c>
      <c r="C199">
        <f t="shared" si="21"/>
        <v>3844</v>
      </c>
      <c r="D199">
        <f t="shared" si="22"/>
        <v>44826</v>
      </c>
      <c r="E199">
        <f t="shared" si="23"/>
        <v>744.49106600000005</v>
      </c>
      <c r="F199">
        <f t="shared" si="24"/>
        <v>-21.491066000000046</v>
      </c>
      <c r="G199">
        <f t="shared" si="25"/>
        <v>461.86591781635798</v>
      </c>
      <c r="H199">
        <f t="shared" si="26"/>
        <v>-163.16039999999998</v>
      </c>
      <c r="I199">
        <f t="shared" si="27"/>
        <v>26621.316128159993</v>
      </c>
    </row>
    <row r="200" spans="1:9" x14ac:dyDescent="0.3">
      <c r="A200">
        <v>211</v>
      </c>
      <c r="B200">
        <v>356</v>
      </c>
      <c r="C200">
        <f t="shared" si="21"/>
        <v>44521</v>
      </c>
      <c r="D200">
        <f t="shared" si="22"/>
        <v>75116</v>
      </c>
      <c r="E200">
        <f t="shared" si="23"/>
        <v>796.54317300000002</v>
      </c>
      <c r="F200">
        <f t="shared" si="24"/>
        <v>-440.54317300000002</v>
      </c>
      <c r="G200">
        <f t="shared" si="25"/>
        <v>194078.28727690794</v>
      </c>
      <c r="H200">
        <f t="shared" si="26"/>
        <v>-530.16039999999998</v>
      </c>
      <c r="I200">
        <f t="shared" si="27"/>
        <v>281070.04972815997</v>
      </c>
    </row>
    <row r="201" spans="1:9" x14ac:dyDescent="0.3">
      <c r="A201">
        <v>253</v>
      </c>
      <c r="B201">
        <v>886</v>
      </c>
      <c r="C201">
        <f t="shared" si="21"/>
        <v>64009</v>
      </c>
      <c r="D201">
        <f t="shared" si="22"/>
        <v>224158</v>
      </c>
      <c r="E201">
        <f t="shared" si="23"/>
        <v>811.21557900000005</v>
      </c>
      <c r="F201">
        <f t="shared" si="24"/>
        <v>74.784420999999952</v>
      </c>
      <c r="G201">
        <f t="shared" si="25"/>
        <v>5592.7096243052338</v>
      </c>
      <c r="H201">
        <f t="shared" si="26"/>
        <v>-0.16039999999998145</v>
      </c>
      <c r="I201">
        <f t="shared" si="27"/>
        <v>2.5728159999994046E-2</v>
      </c>
    </row>
    <row r="202" spans="1:9" x14ac:dyDescent="0.3">
      <c r="A202">
        <v>60</v>
      </c>
      <c r="B202">
        <v>727</v>
      </c>
      <c r="C202">
        <f t="shared" si="21"/>
        <v>3600</v>
      </c>
      <c r="D202">
        <f t="shared" si="22"/>
        <v>43620</v>
      </c>
      <c r="E202">
        <f t="shared" si="23"/>
        <v>743.79238000000009</v>
      </c>
      <c r="F202">
        <f t="shared" si="24"/>
        <v>-16.792380000000094</v>
      </c>
      <c r="G202">
        <f t="shared" si="25"/>
        <v>281.98402606440317</v>
      </c>
      <c r="H202">
        <f t="shared" si="26"/>
        <v>-159.16039999999998</v>
      </c>
      <c r="I202">
        <f t="shared" si="27"/>
        <v>25332.032928159995</v>
      </c>
    </row>
    <row r="203" spans="1:9" x14ac:dyDescent="0.3">
      <c r="A203">
        <v>425</v>
      </c>
      <c r="B203">
        <v>851</v>
      </c>
      <c r="C203">
        <f t="shared" si="21"/>
        <v>180625</v>
      </c>
      <c r="D203">
        <f t="shared" si="22"/>
        <v>361675</v>
      </c>
      <c r="E203">
        <f t="shared" si="23"/>
        <v>871.30257500000005</v>
      </c>
      <c r="F203">
        <f t="shared" si="24"/>
        <v>-20.302575000000047</v>
      </c>
      <c r="G203">
        <f t="shared" si="25"/>
        <v>412.1945516306269</v>
      </c>
      <c r="H203">
        <f t="shared" si="26"/>
        <v>-35.160399999999981</v>
      </c>
      <c r="I203">
        <f t="shared" si="27"/>
        <v>1236.2537281599987</v>
      </c>
    </row>
    <row r="204" spans="1:9" x14ac:dyDescent="0.3">
      <c r="A204">
        <v>2962</v>
      </c>
      <c r="B204">
        <v>1629</v>
      </c>
      <c r="C204">
        <f t="shared" si="21"/>
        <v>8773444</v>
      </c>
      <c r="D204">
        <f t="shared" si="22"/>
        <v>4825098</v>
      </c>
      <c r="E204">
        <f t="shared" si="23"/>
        <v>1757.5857660000001</v>
      </c>
      <c r="F204">
        <f t="shared" si="24"/>
        <v>-128.58576600000015</v>
      </c>
      <c r="G204">
        <f t="shared" si="25"/>
        <v>16534.299217806794</v>
      </c>
      <c r="H204">
        <f t="shared" si="26"/>
        <v>742.83960000000002</v>
      </c>
      <c r="I204">
        <f t="shared" si="27"/>
        <v>551810.67132815998</v>
      </c>
    </row>
    <row r="205" spans="1:9" x14ac:dyDescent="0.3">
      <c r="A205">
        <v>263</v>
      </c>
      <c r="B205">
        <v>335</v>
      </c>
      <c r="C205">
        <f t="shared" si="21"/>
        <v>69169</v>
      </c>
      <c r="D205">
        <f t="shared" si="22"/>
        <v>88105</v>
      </c>
      <c r="E205">
        <f t="shared" si="23"/>
        <v>814.70900900000004</v>
      </c>
      <c r="F205">
        <f t="shared" si="24"/>
        <v>-479.70900900000004</v>
      </c>
      <c r="G205">
        <f t="shared" si="25"/>
        <v>230120.7333157621</v>
      </c>
      <c r="H205">
        <f t="shared" si="26"/>
        <v>-551.16039999999998</v>
      </c>
      <c r="I205">
        <f t="shared" si="27"/>
        <v>303777.78652815998</v>
      </c>
    </row>
    <row r="206" spans="1:9" x14ac:dyDescent="0.3">
      <c r="A206">
        <v>1491</v>
      </c>
      <c r="B206">
        <v>1139</v>
      </c>
      <c r="C206">
        <f t="shared" si="21"/>
        <v>2223081</v>
      </c>
      <c r="D206">
        <f t="shared" si="22"/>
        <v>1698249</v>
      </c>
      <c r="E206">
        <f t="shared" si="23"/>
        <v>1243.702213</v>
      </c>
      <c r="F206">
        <f t="shared" si="24"/>
        <v>-104.70221300000003</v>
      </c>
      <c r="G206">
        <f t="shared" si="25"/>
        <v>10962.553407097375</v>
      </c>
      <c r="H206">
        <f t="shared" si="26"/>
        <v>252.83960000000002</v>
      </c>
      <c r="I206">
        <f t="shared" si="27"/>
        <v>63927.863328160012</v>
      </c>
    </row>
    <row r="207" spans="1:9" x14ac:dyDescent="0.3">
      <c r="A207">
        <v>13</v>
      </c>
      <c r="B207">
        <v>384</v>
      </c>
      <c r="C207">
        <f t="shared" si="21"/>
        <v>169</v>
      </c>
      <c r="D207">
        <f t="shared" si="22"/>
        <v>4992</v>
      </c>
      <c r="E207">
        <f t="shared" si="23"/>
        <v>727.37325900000008</v>
      </c>
      <c r="F207">
        <f t="shared" si="24"/>
        <v>-343.37325900000008</v>
      </c>
      <c r="G207">
        <f t="shared" si="25"/>
        <v>117905.19499628113</v>
      </c>
      <c r="H207">
        <f t="shared" si="26"/>
        <v>-502.16039999999998</v>
      </c>
      <c r="I207">
        <f t="shared" si="27"/>
        <v>252165.06732815999</v>
      </c>
    </row>
    <row r="208" spans="1:9" x14ac:dyDescent="0.3">
      <c r="A208">
        <v>145</v>
      </c>
      <c r="B208">
        <v>961</v>
      </c>
      <c r="C208">
        <f t="shared" si="21"/>
        <v>21025</v>
      </c>
      <c r="D208">
        <f t="shared" si="22"/>
        <v>139345</v>
      </c>
      <c r="E208">
        <f t="shared" si="23"/>
        <v>773.486535</v>
      </c>
      <c r="F208">
        <f t="shared" si="24"/>
        <v>187.513465</v>
      </c>
      <c r="G208">
        <f t="shared" si="25"/>
        <v>35161.299556306221</v>
      </c>
      <c r="H208">
        <f t="shared" si="26"/>
        <v>74.839600000000019</v>
      </c>
      <c r="I208">
        <f t="shared" si="27"/>
        <v>5600.965728160003</v>
      </c>
    </row>
    <row r="209" spans="1:9" x14ac:dyDescent="0.3">
      <c r="A209">
        <v>1437</v>
      </c>
      <c r="B209">
        <v>1306</v>
      </c>
      <c r="C209">
        <f t="shared" si="21"/>
        <v>2064969</v>
      </c>
      <c r="D209">
        <f t="shared" si="22"/>
        <v>1876722</v>
      </c>
      <c r="E209">
        <f t="shared" si="23"/>
        <v>1224.8376910000002</v>
      </c>
      <c r="F209">
        <f t="shared" si="24"/>
        <v>81.162308999999823</v>
      </c>
      <c r="G209">
        <f t="shared" si="25"/>
        <v>6587.3204022114523</v>
      </c>
      <c r="H209">
        <f t="shared" si="26"/>
        <v>419.83960000000002</v>
      </c>
      <c r="I209">
        <f t="shared" si="27"/>
        <v>176265.28972816002</v>
      </c>
    </row>
    <row r="210" spans="1:9" x14ac:dyDescent="0.3">
      <c r="A210">
        <v>3</v>
      </c>
      <c r="B210">
        <v>967</v>
      </c>
      <c r="C210">
        <f t="shared" si="21"/>
        <v>9</v>
      </c>
      <c r="D210">
        <f t="shared" si="22"/>
        <v>2901</v>
      </c>
      <c r="E210">
        <f t="shared" si="23"/>
        <v>723.87982900000009</v>
      </c>
      <c r="F210">
        <f t="shared" si="24"/>
        <v>243.12017099999991</v>
      </c>
      <c r="G210">
        <f t="shared" si="25"/>
        <v>59107.417547069199</v>
      </c>
      <c r="H210">
        <f t="shared" si="26"/>
        <v>80.839600000000019</v>
      </c>
      <c r="I210">
        <f t="shared" si="27"/>
        <v>6535.0409281600032</v>
      </c>
    </row>
    <row r="211" spans="1:9" x14ac:dyDescent="0.3">
      <c r="A211">
        <v>1454</v>
      </c>
      <c r="B211">
        <v>1200</v>
      </c>
      <c r="C211">
        <f t="shared" si="21"/>
        <v>2114116</v>
      </c>
      <c r="D211">
        <f t="shared" si="22"/>
        <v>1744800</v>
      </c>
      <c r="E211">
        <f t="shared" si="23"/>
        <v>1230.7765220000001</v>
      </c>
      <c r="F211">
        <f t="shared" si="24"/>
        <v>-30.776522000000114</v>
      </c>
      <c r="G211">
        <f t="shared" si="25"/>
        <v>947.19430641649103</v>
      </c>
      <c r="H211">
        <f t="shared" si="26"/>
        <v>313.83960000000002</v>
      </c>
      <c r="I211">
        <f t="shared" si="27"/>
        <v>98495.294528160011</v>
      </c>
    </row>
    <row r="212" spans="1:9" x14ac:dyDescent="0.3">
      <c r="A212">
        <v>112</v>
      </c>
      <c r="B212">
        <v>920</v>
      </c>
      <c r="C212">
        <f t="shared" si="21"/>
        <v>12544</v>
      </c>
      <c r="D212">
        <f t="shared" si="22"/>
        <v>103040</v>
      </c>
      <c r="E212">
        <f t="shared" si="23"/>
        <v>761.95821599999999</v>
      </c>
      <c r="F212">
        <f t="shared" si="24"/>
        <v>158.04178400000001</v>
      </c>
      <c r="G212">
        <f t="shared" si="25"/>
        <v>24977.205489902659</v>
      </c>
      <c r="H212">
        <f t="shared" si="26"/>
        <v>33.839600000000019</v>
      </c>
      <c r="I212">
        <f t="shared" si="27"/>
        <v>1145.1185281600012</v>
      </c>
    </row>
    <row r="213" spans="1:9" x14ac:dyDescent="0.3">
      <c r="A213">
        <v>132</v>
      </c>
      <c r="B213">
        <v>894</v>
      </c>
      <c r="C213">
        <f t="shared" si="21"/>
        <v>17424</v>
      </c>
      <c r="D213">
        <f t="shared" si="22"/>
        <v>118008</v>
      </c>
      <c r="E213">
        <f t="shared" si="23"/>
        <v>768.94507600000009</v>
      </c>
      <c r="F213">
        <f t="shared" si="24"/>
        <v>125.05492399999991</v>
      </c>
      <c r="G213">
        <f t="shared" si="25"/>
        <v>15638.734016645754</v>
      </c>
      <c r="H213">
        <f t="shared" si="26"/>
        <v>7.8396000000000186</v>
      </c>
      <c r="I213">
        <f t="shared" si="27"/>
        <v>61.45932816000029</v>
      </c>
    </row>
    <row r="214" spans="1:9" x14ac:dyDescent="0.3">
      <c r="A214">
        <v>5</v>
      </c>
      <c r="B214">
        <v>496</v>
      </c>
      <c r="C214">
        <f t="shared" si="21"/>
        <v>25</v>
      </c>
      <c r="D214">
        <f t="shared" si="22"/>
        <v>2480</v>
      </c>
      <c r="E214">
        <f t="shared" si="23"/>
        <v>724.57851500000004</v>
      </c>
      <c r="F214">
        <f t="shared" si="24"/>
        <v>-228.57851500000004</v>
      </c>
      <c r="G214">
        <f t="shared" si="25"/>
        <v>52248.13751960524</v>
      </c>
      <c r="H214">
        <f t="shared" si="26"/>
        <v>-390.16039999999998</v>
      </c>
      <c r="I214">
        <f t="shared" si="27"/>
        <v>152225.13772815999</v>
      </c>
    </row>
    <row r="215" spans="1:9" x14ac:dyDescent="0.3">
      <c r="A215">
        <v>398</v>
      </c>
      <c r="B215">
        <v>975</v>
      </c>
      <c r="C215">
        <f t="shared" si="21"/>
        <v>158404</v>
      </c>
      <c r="D215">
        <f t="shared" si="22"/>
        <v>388050</v>
      </c>
      <c r="E215">
        <f t="shared" si="23"/>
        <v>861.87031400000001</v>
      </c>
      <c r="F215">
        <f t="shared" si="24"/>
        <v>113.12968599999999</v>
      </c>
      <c r="G215">
        <f t="shared" si="25"/>
        <v>12798.325854458595</v>
      </c>
      <c r="H215">
        <f t="shared" si="26"/>
        <v>88.839600000000019</v>
      </c>
      <c r="I215">
        <f t="shared" si="27"/>
        <v>7892.4745281600035</v>
      </c>
    </row>
    <row r="216" spans="1:9" x14ac:dyDescent="0.3">
      <c r="A216">
        <v>121</v>
      </c>
      <c r="B216">
        <v>946</v>
      </c>
      <c r="C216">
        <f t="shared" si="21"/>
        <v>14641</v>
      </c>
      <c r="D216">
        <f t="shared" si="22"/>
        <v>114466</v>
      </c>
      <c r="E216">
        <f t="shared" si="23"/>
        <v>765.10230300000001</v>
      </c>
      <c r="F216">
        <f t="shared" si="24"/>
        <v>180.89769699999999</v>
      </c>
      <c r="G216">
        <f t="shared" si="25"/>
        <v>32723.976779903805</v>
      </c>
      <c r="H216">
        <f t="shared" si="26"/>
        <v>59.839600000000019</v>
      </c>
      <c r="I216">
        <f t="shared" si="27"/>
        <v>3580.7777281600024</v>
      </c>
    </row>
    <row r="217" spans="1:9" x14ac:dyDescent="0.3">
      <c r="A217">
        <v>86</v>
      </c>
      <c r="B217">
        <v>499</v>
      </c>
      <c r="C217">
        <f t="shared" si="21"/>
        <v>7396</v>
      </c>
      <c r="D217">
        <f t="shared" si="22"/>
        <v>42914</v>
      </c>
      <c r="E217">
        <f t="shared" si="23"/>
        <v>752.87529800000004</v>
      </c>
      <c r="F217">
        <f t="shared" si="24"/>
        <v>-253.87529800000004</v>
      </c>
      <c r="G217">
        <f t="shared" si="25"/>
        <v>64452.666934588829</v>
      </c>
      <c r="H217">
        <f t="shared" si="26"/>
        <v>-387.16039999999998</v>
      </c>
      <c r="I217">
        <f t="shared" si="27"/>
        <v>149893.17532816</v>
      </c>
    </row>
    <row r="218" spans="1:9" x14ac:dyDescent="0.3">
      <c r="A218">
        <v>269</v>
      </c>
      <c r="B218">
        <v>846</v>
      </c>
      <c r="C218">
        <f t="shared" si="21"/>
        <v>72361</v>
      </c>
      <c r="D218">
        <f t="shared" si="22"/>
        <v>227574</v>
      </c>
      <c r="E218">
        <f t="shared" si="23"/>
        <v>816.80506700000001</v>
      </c>
      <c r="F218">
        <f t="shared" si="24"/>
        <v>29.194932999999992</v>
      </c>
      <c r="G218">
        <f t="shared" si="25"/>
        <v>852.34411287448847</v>
      </c>
      <c r="H218">
        <f t="shared" si="26"/>
        <v>-40.160399999999981</v>
      </c>
      <c r="I218">
        <f t="shared" si="27"/>
        <v>1612.8577281599985</v>
      </c>
    </row>
    <row r="219" spans="1:9" x14ac:dyDescent="0.3">
      <c r="A219">
        <v>111</v>
      </c>
      <c r="B219">
        <v>879</v>
      </c>
      <c r="C219">
        <f t="shared" si="21"/>
        <v>12321</v>
      </c>
      <c r="D219">
        <f t="shared" si="22"/>
        <v>97569</v>
      </c>
      <c r="E219">
        <f t="shared" si="23"/>
        <v>761.60887300000002</v>
      </c>
      <c r="F219">
        <f t="shared" si="24"/>
        <v>117.39112699999998</v>
      </c>
      <c r="G219">
        <f t="shared" si="25"/>
        <v>13780.676698330126</v>
      </c>
      <c r="H219">
        <f t="shared" si="26"/>
        <v>-7.1603999999999814</v>
      </c>
      <c r="I219">
        <f t="shared" si="27"/>
        <v>51.271328159999733</v>
      </c>
    </row>
    <row r="220" spans="1:9" x14ac:dyDescent="0.3">
      <c r="A220">
        <v>269</v>
      </c>
      <c r="B220">
        <v>879</v>
      </c>
      <c r="C220">
        <f t="shared" si="21"/>
        <v>72361</v>
      </c>
      <c r="D220">
        <f t="shared" si="22"/>
        <v>236451</v>
      </c>
      <c r="E220">
        <f t="shared" si="23"/>
        <v>816.80506700000001</v>
      </c>
      <c r="F220">
        <f t="shared" si="24"/>
        <v>62.194932999999992</v>
      </c>
      <c r="G220">
        <f t="shared" si="25"/>
        <v>3868.2096908744879</v>
      </c>
      <c r="H220">
        <f t="shared" si="26"/>
        <v>-7.1603999999999814</v>
      </c>
      <c r="I220">
        <f t="shared" si="27"/>
        <v>51.271328159999733</v>
      </c>
    </row>
    <row r="221" spans="1:9" x14ac:dyDescent="0.3">
      <c r="A221">
        <v>180</v>
      </c>
      <c r="B221">
        <v>661</v>
      </c>
      <c r="C221">
        <f t="shared" si="21"/>
        <v>32400</v>
      </c>
      <c r="D221">
        <f t="shared" si="22"/>
        <v>118980</v>
      </c>
      <c r="E221">
        <f t="shared" si="23"/>
        <v>785.71354000000008</v>
      </c>
      <c r="F221">
        <f t="shared" si="24"/>
        <v>-124.71354000000008</v>
      </c>
      <c r="G221">
        <f t="shared" si="25"/>
        <v>15553.46705933162</v>
      </c>
      <c r="H221">
        <f t="shared" si="26"/>
        <v>-225.16039999999998</v>
      </c>
      <c r="I221">
        <f t="shared" si="27"/>
        <v>50697.205728159992</v>
      </c>
    </row>
    <row r="222" spans="1:9" x14ac:dyDescent="0.3">
      <c r="A222">
        <v>184</v>
      </c>
      <c r="B222">
        <v>909</v>
      </c>
      <c r="C222">
        <f t="shared" si="21"/>
        <v>33856</v>
      </c>
      <c r="D222">
        <f t="shared" si="22"/>
        <v>167256</v>
      </c>
      <c r="E222">
        <f t="shared" si="23"/>
        <v>787.1109120000001</v>
      </c>
      <c r="F222">
        <f t="shared" si="24"/>
        <v>121.8890879999999</v>
      </c>
      <c r="G222">
        <f t="shared" si="25"/>
        <v>14856.949773471721</v>
      </c>
      <c r="H222">
        <f t="shared" si="26"/>
        <v>22.839600000000019</v>
      </c>
      <c r="I222">
        <f t="shared" si="27"/>
        <v>521.64732816000082</v>
      </c>
    </row>
    <row r="223" spans="1:9" x14ac:dyDescent="0.3">
      <c r="A223">
        <v>546</v>
      </c>
      <c r="B223">
        <v>1194</v>
      </c>
      <c r="C223">
        <f t="shared" si="21"/>
        <v>298116</v>
      </c>
      <c r="D223">
        <f t="shared" si="22"/>
        <v>651924</v>
      </c>
      <c r="E223">
        <f t="shared" si="23"/>
        <v>913.57307800000001</v>
      </c>
      <c r="F223">
        <f t="shared" si="24"/>
        <v>280.42692199999999</v>
      </c>
      <c r="G223">
        <f t="shared" si="25"/>
        <v>78639.258582394075</v>
      </c>
      <c r="H223">
        <f t="shared" si="26"/>
        <v>307.83960000000002</v>
      </c>
      <c r="I223">
        <f t="shared" si="27"/>
        <v>94765.219328160005</v>
      </c>
    </row>
    <row r="224" spans="1:9" x14ac:dyDescent="0.3">
      <c r="A224">
        <v>906</v>
      </c>
      <c r="B224">
        <v>1440</v>
      </c>
      <c r="C224">
        <f t="shared" si="21"/>
        <v>820836</v>
      </c>
      <c r="D224">
        <f t="shared" si="22"/>
        <v>1304640</v>
      </c>
      <c r="E224">
        <f t="shared" si="23"/>
        <v>1039.336558</v>
      </c>
      <c r="F224">
        <f t="shared" si="24"/>
        <v>400.66344200000003</v>
      </c>
      <c r="G224">
        <f t="shared" si="25"/>
        <v>160531.19375528739</v>
      </c>
      <c r="H224">
        <f t="shared" si="26"/>
        <v>553.83960000000002</v>
      </c>
      <c r="I224">
        <f t="shared" si="27"/>
        <v>306738.30252816004</v>
      </c>
    </row>
    <row r="225" spans="1:9" x14ac:dyDescent="0.3">
      <c r="A225">
        <v>1121</v>
      </c>
      <c r="B225">
        <v>717</v>
      </c>
      <c r="C225">
        <f t="shared" si="21"/>
        <v>1256641</v>
      </c>
      <c r="D225">
        <f t="shared" si="22"/>
        <v>803757</v>
      </c>
      <c r="E225">
        <f t="shared" si="23"/>
        <v>1114.445303</v>
      </c>
      <c r="F225">
        <f t="shared" si="24"/>
        <v>-397.44530299999997</v>
      </c>
      <c r="G225">
        <f t="shared" si="25"/>
        <v>157962.76887676178</v>
      </c>
      <c r="H225">
        <f t="shared" si="26"/>
        <v>-169.16039999999998</v>
      </c>
      <c r="I225">
        <f t="shared" si="27"/>
        <v>28615.240928159994</v>
      </c>
    </row>
    <row r="226" spans="1:9" x14ac:dyDescent="0.3">
      <c r="A226">
        <v>190</v>
      </c>
      <c r="B226">
        <v>1066</v>
      </c>
      <c r="C226">
        <f t="shared" si="21"/>
        <v>36100</v>
      </c>
      <c r="D226">
        <f t="shared" si="22"/>
        <v>202540</v>
      </c>
      <c r="E226">
        <f t="shared" si="23"/>
        <v>789.20697000000007</v>
      </c>
      <c r="F226">
        <f t="shared" si="24"/>
        <v>276.79302999999993</v>
      </c>
      <c r="G226">
        <f t="shared" si="25"/>
        <v>76614.381456580857</v>
      </c>
      <c r="H226">
        <f t="shared" si="26"/>
        <v>179.83960000000002</v>
      </c>
      <c r="I226">
        <f t="shared" si="27"/>
        <v>32342.281728160007</v>
      </c>
    </row>
    <row r="227" spans="1:9" x14ac:dyDescent="0.3">
      <c r="A227">
        <v>6</v>
      </c>
      <c r="B227">
        <v>278</v>
      </c>
      <c r="C227">
        <f t="shared" si="21"/>
        <v>36</v>
      </c>
      <c r="D227">
        <f t="shared" si="22"/>
        <v>1668</v>
      </c>
      <c r="E227">
        <f t="shared" si="23"/>
        <v>724.92785800000001</v>
      </c>
      <c r="F227">
        <f t="shared" si="24"/>
        <v>-446.92785800000001</v>
      </c>
      <c r="G227">
        <f t="shared" si="25"/>
        <v>199744.51025646817</v>
      </c>
      <c r="H227">
        <f t="shared" si="26"/>
        <v>-608.16039999999998</v>
      </c>
      <c r="I227">
        <f t="shared" si="27"/>
        <v>369859.07212815998</v>
      </c>
    </row>
    <row r="228" spans="1:9" x14ac:dyDescent="0.3">
      <c r="A228">
        <v>591</v>
      </c>
      <c r="B228">
        <v>806</v>
      </c>
      <c r="C228">
        <f t="shared" si="21"/>
        <v>349281</v>
      </c>
      <c r="D228">
        <f t="shared" si="22"/>
        <v>476346</v>
      </c>
      <c r="E228">
        <f t="shared" si="23"/>
        <v>929.29351300000008</v>
      </c>
      <c r="F228">
        <f t="shared" si="24"/>
        <v>-123.29351300000008</v>
      </c>
      <c r="G228">
        <f t="shared" si="25"/>
        <v>15201.290347881188</v>
      </c>
      <c r="H228">
        <f t="shared" si="26"/>
        <v>-80.160399999999981</v>
      </c>
      <c r="I228">
        <f t="shared" si="27"/>
        <v>6425.6897281599968</v>
      </c>
    </row>
    <row r="229" spans="1:9" x14ac:dyDescent="0.3">
      <c r="A229">
        <v>1172</v>
      </c>
      <c r="B229">
        <v>1197</v>
      </c>
      <c r="C229">
        <f t="shared" si="21"/>
        <v>1373584</v>
      </c>
      <c r="D229">
        <f t="shared" si="22"/>
        <v>1402884</v>
      </c>
      <c r="E229">
        <f t="shared" si="23"/>
        <v>1132.261796</v>
      </c>
      <c r="F229">
        <f t="shared" si="24"/>
        <v>64.738203999999996</v>
      </c>
      <c r="G229">
        <f t="shared" si="25"/>
        <v>4191.0350571456156</v>
      </c>
      <c r="H229">
        <f t="shared" si="26"/>
        <v>310.83960000000002</v>
      </c>
      <c r="I229">
        <f t="shared" si="27"/>
        <v>96621.256928160015</v>
      </c>
    </row>
    <row r="230" spans="1:9" x14ac:dyDescent="0.3">
      <c r="A230">
        <v>881</v>
      </c>
      <c r="B230">
        <v>1129</v>
      </c>
      <c r="C230">
        <f t="shared" si="21"/>
        <v>776161</v>
      </c>
      <c r="D230">
        <f t="shared" si="22"/>
        <v>994649</v>
      </c>
      <c r="E230">
        <f t="shared" si="23"/>
        <v>1030.602983</v>
      </c>
      <c r="F230">
        <f t="shared" si="24"/>
        <v>98.397017000000005</v>
      </c>
      <c r="G230">
        <f t="shared" si="25"/>
        <v>9681.9729544982893</v>
      </c>
      <c r="H230">
        <f t="shared" si="26"/>
        <v>242.83960000000002</v>
      </c>
      <c r="I230">
        <f t="shared" si="27"/>
        <v>58971.071328160011</v>
      </c>
    </row>
    <row r="231" spans="1:9" x14ac:dyDescent="0.3">
      <c r="A231">
        <v>230</v>
      </c>
      <c r="B231">
        <v>764</v>
      </c>
      <c r="C231">
        <f t="shared" si="21"/>
        <v>52900</v>
      </c>
      <c r="D231">
        <f t="shared" si="22"/>
        <v>175720</v>
      </c>
      <c r="E231">
        <f t="shared" si="23"/>
        <v>803.18069000000003</v>
      </c>
      <c r="F231">
        <f t="shared" si="24"/>
        <v>-39.180690000000027</v>
      </c>
      <c r="G231">
        <f t="shared" si="25"/>
        <v>1535.1264688761021</v>
      </c>
      <c r="H231">
        <f t="shared" si="26"/>
        <v>-122.16039999999998</v>
      </c>
      <c r="I231">
        <f t="shared" si="27"/>
        <v>14923.163328159995</v>
      </c>
    </row>
    <row r="232" spans="1:9" x14ac:dyDescent="0.3">
      <c r="A232">
        <v>76</v>
      </c>
      <c r="B232">
        <v>807</v>
      </c>
      <c r="C232">
        <f t="shared" si="21"/>
        <v>5776</v>
      </c>
      <c r="D232">
        <f t="shared" si="22"/>
        <v>61332</v>
      </c>
      <c r="E232">
        <f t="shared" si="23"/>
        <v>749.38186800000005</v>
      </c>
      <c r="F232">
        <f t="shared" si="24"/>
        <v>57.618131999999946</v>
      </c>
      <c r="G232">
        <f t="shared" si="25"/>
        <v>3319.8491351694179</v>
      </c>
      <c r="H232">
        <f t="shared" si="26"/>
        <v>-79.160399999999981</v>
      </c>
      <c r="I232">
        <f t="shared" si="27"/>
        <v>6266.3689281599973</v>
      </c>
    </row>
    <row r="233" spans="1:9" x14ac:dyDescent="0.3">
      <c r="A233">
        <v>926</v>
      </c>
      <c r="B233">
        <v>1208</v>
      </c>
      <c r="C233">
        <f t="shared" si="21"/>
        <v>857476</v>
      </c>
      <c r="D233">
        <f t="shared" si="22"/>
        <v>1118608</v>
      </c>
      <c r="E233">
        <f t="shared" si="23"/>
        <v>1046.3234179999999</v>
      </c>
      <c r="F233">
        <f t="shared" si="24"/>
        <v>161.67658200000005</v>
      </c>
      <c r="G233">
        <f t="shared" si="25"/>
        <v>26139.317167202742</v>
      </c>
      <c r="H233">
        <f t="shared" si="26"/>
        <v>321.83960000000002</v>
      </c>
      <c r="I233">
        <f t="shared" si="27"/>
        <v>103580.72812816002</v>
      </c>
    </row>
    <row r="234" spans="1:9" x14ac:dyDescent="0.3">
      <c r="A234">
        <v>2691</v>
      </c>
      <c r="B234">
        <v>1332</v>
      </c>
      <c r="C234">
        <f t="shared" si="21"/>
        <v>7241481</v>
      </c>
      <c r="D234">
        <f t="shared" si="22"/>
        <v>3584412</v>
      </c>
      <c r="E234">
        <f t="shared" si="23"/>
        <v>1662.9138130000001</v>
      </c>
      <c r="F234">
        <f t="shared" si="24"/>
        <v>-330.91381300000012</v>
      </c>
      <c r="G234">
        <f t="shared" si="25"/>
        <v>109503.95163419905</v>
      </c>
      <c r="H234">
        <f t="shared" si="26"/>
        <v>445.83960000000002</v>
      </c>
      <c r="I234">
        <f t="shared" si="27"/>
        <v>198772.94892816001</v>
      </c>
    </row>
    <row r="235" spans="1:9" x14ac:dyDescent="0.3">
      <c r="A235">
        <v>15</v>
      </c>
      <c r="B235">
        <v>391</v>
      </c>
      <c r="C235">
        <f t="shared" si="21"/>
        <v>225</v>
      </c>
      <c r="D235">
        <f t="shared" si="22"/>
        <v>5865</v>
      </c>
      <c r="E235">
        <f t="shared" si="23"/>
        <v>728.07194500000003</v>
      </c>
      <c r="F235">
        <f t="shared" si="24"/>
        <v>-337.07194500000003</v>
      </c>
      <c r="G235">
        <f t="shared" si="25"/>
        <v>113617.49610608304</v>
      </c>
      <c r="H235">
        <f t="shared" si="26"/>
        <v>-495.16039999999998</v>
      </c>
      <c r="I235">
        <f t="shared" si="27"/>
        <v>245183.82172815999</v>
      </c>
    </row>
    <row r="236" spans="1:9" x14ac:dyDescent="0.3">
      <c r="A236">
        <v>244</v>
      </c>
      <c r="B236">
        <v>914</v>
      </c>
      <c r="C236">
        <f t="shared" si="21"/>
        <v>59536</v>
      </c>
      <c r="D236">
        <f t="shared" si="22"/>
        <v>223016</v>
      </c>
      <c r="E236">
        <f t="shared" si="23"/>
        <v>808.07149200000003</v>
      </c>
      <c r="F236">
        <f t="shared" si="24"/>
        <v>105.92850799999997</v>
      </c>
      <c r="G236">
        <f t="shared" si="25"/>
        <v>11220.848807106056</v>
      </c>
      <c r="H236">
        <f t="shared" si="26"/>
        <v>27.839600000000019</v>
      </c>
      <c r="I236">
        <f t="shared" si="27"/>
        <v>775.04332816000101</v>
      </c>
    </row>
    <row r="237" spans="1:9" x14ac:dyDescent="0.3">
      <c r="A237">
        <v>12</v>
      </c>
      <c r="B237">
        <v>733</v>
      </c>
      <c r="C237">
        <f t="shared" si="21"/>
        <v>144</v>
      </c>
      <c r="D237">
        <f t="shared" si="22"/>
        <v>8796</v>
      </c>
      <c r="E237">
        <f t="shared" si="23"/>
        <v>727.0239160000001</v>
      </c>
      <c r="F237">
        <f t="shared" si="24"/>
        <v>5.9760839999999007</v>
      </c>
      <c r="G237">
        <f t="shared" si="25"/>
        <v>35.713579975054813</v>
      </c>
      <c r="H237">
        <f t="shared" si="26"/>
        <v>-153.16039999999998</v>
      </c>
      <c r="I237">
        <f t="shared" si="27"/>
        <v>23458.108128159995</v>
      </c>
    </row>
    <row r="238" spans="1:9" x14ac:dyDescent="0.3">
      <c r="A238">
        <v>707</v>
      </c>
      <c r="B238">
        <v>991</v>
      </c>
      <c r="C238">
        <f t="shared" si="21"/>
        <v>499849</v>
      </c>
      <c r="D238">
        <f t="shared" si="22"/>
        <v>700637</v>
      </c>
      <c r="E238">
        <f t="shared" si="23"/>
        <v>969.81730100000004</v>
      </c>
      <c r="F238">
        <f t="shared" si="24"/>
        <v>21.182698999999957</v>
      </c>
      <c r="G238">
        <f t="shared" si="25"/>
        <v>448.70673692459917</v>
      </c>
      <c r="H238">
        <f t="shared" si="26"/>
        <v>104.83960000000002</v>
      </c>
      <c r="I238">
        <f t="shared" si="27"/>
        <v>10991.341728160003</v>
      </c>
    </row>
    <row r="239" spans="1:9" x14ac:dyDescent="0.3">
      <c r="A239">
        <v>140</v>
      </c>
      <c r="B239">
        <v>389</v>
      </c>
      <c r="C239">
        <f t="shared" si="21"/>
        <v>19600</v>
      </c>
      <c r="D239">
        <f t="shared" si="22"/>
        <v>54460</v>
      </c>
      <c r="E239">
        <f t="shared" si="23"/>
        <v>771.73982000000001</v>
      </c>
      <c r="F239">
        <f t="shared" si="24"/>
        <v>-382.73982000000001</v>
      </c>
      <c r="G239">
        <f t="shared" si="25"/>
        <v>146489.76981363242</v>
      </c>
      <c r="H239">
        <f t="shared" si="26"/>
        <v>-497.16039999999998</v>
      </c>
      <c r="I239">
        <f t="shared" si="27"/>
        <v>247168.46332815997</v>
      </c>
    </row>
    <row r="240" spans="1:9" x14ac:dyDescent="0.3">
      <c r="A240">
        <v>76</v>
      </c>
      <c r="B240">
        <v>933</v>
      </c>
      <c r="C240">
        <f t="shared" si="21"/>
        <v>5776</v>
      </c>
      <c r="D240">
        <f t="shared" si="22"/>
        <v>70908</v>
      </c>
      <c r="E240">
        <f t="shared" si="23"/>
        <v>749.38186800000005</v>
      </c>
      <c r="F240">
        <f t="shared" si="24"/>
        <v>183.61813199999995</v>
      </c>
      <c r="G240">
        <f t="shared" si="25"/>
        <v>33715.618399169405</v>
      </c>
      <c r="H240">
        <f t="shared" si="26"/>
        <v>46.839600000000019</v>
      </c>
      <c r="I240">
        <f t="shared" si="27"/>
        <v>2193.9481281600019</v>
      </c>
    </row>
    <row r="241" spans="1:9" x14ac:dyDescent="0.3">
      <c r="A241">
        <v>19</v>
      </c>
      <c r="B241">
        <v>1034</v>
      </c>
      <c r="C241">
        <f t="shared" si="21"/>
        <v>361</v>
      </c>
      <c r="D241">
        <f t="shared" si="22"/>
        <v>19646</v>
      </c>
      <c r="E241">
        <f t="shared" si="23"/>
        <v>729.46931700000005</v>
      </c>
      <c r="F241">
        <f t="shared" si="24"/>
        <v>304.53068299999995</v>
      </c>
      <c r="G241">
        <f t="shared" si="25"/>
        <v>92738.936888446464</v>
      </c>
      <c r="H241">
        <f t="shared" si="26"/>
        <v>147.83960000000002</v>
      </c>
      <c r="I241">
        <f t="shared" si="27"/>
        <v>21856.547328160006</v>
      </c>
    </row>
    <row r="242" spans="1:9" x14ac:dyDescent="0.3">
      <c r="A242">
        <v>112</v>
      </c>
      <c r="B242">
        <v>895</v>
      </c>
      <c r="C242">
        <f t="shared" si="21"/>
        <v>12544</v>
      </c>
      <c r="D242">
        <f t="shared" si="22"/>
        <v>100240</v>
      </c>
      <c r="E242">
        <f t="shared" si="23"/>
        <v>761.95821599999999</v>
      </c>
      <c r="F242">
        <f t="shared" si="24"/>
        <v>133.04178400000001</v>
      </c>
      <c r="G242">
        <f t="shared" si="25"/>
        <v>17700.116289902657</v>
      </c>
      <c r="H242">
        <f t="shared" si="26"/>
        <v>8.8396000000000186</v>
      </c>
      <c r="I242">
        <f t="shared" si="27"/>
        <v>78.138528160000334</v>
      </c>
    </row>
    <row r="243" spans="1:9" x14ac:dyDescent="0.3">
      <c r="A243">
        <v>162</v>
      </c>
      <c r="B243">
        <v>1157</v>
      </c>
      <c r="C243">
        <f t="shared" si="21"/>
        <v>26244</v>
      </c>
      <c r="D243">
        <f t="shared" si="22"/>
        <v>187434</v>
      </c>
      <c r="E243">
        <f t="shared" si="23"/>
        <v>779.42536600000005</v>
      </c>
      <c r="F243">
        <f t="shared" si="24"/>
        <v>377.57463399999995</v>
      </c>
      <c r="G243">
        <f t="shared" si="25"/>
        <v>142562.60424023392</v>
      </c>
      <c r="H243">
        <f t="shared" si="26"/>
        <v>270.83960000000002</v>
      </c>
      <c r="I243">
        <f t="shared" si="27"/>
        <v>73354.08892816001</v>
      </c>
    </row>
    <row r="244" spans="1:9" x14ac:dyDescent="0.3">
      <c r="A244">
        <v>262</v>
      </c>
      <c r="B244">
        <v>816</v>
      </c>
      <c r="C244">
        <f t="shared" si="21"/>
        <v>68644</v>
      </c>
      <c r="D244">
        <f t="shared" si="22"/>
        <v>213792</v>
      </c>
      <c r="E244">
        <f t="shared" si="23"/>
        <v>814.35966600000006</v>
      </c>
      <c r="F244">
        <f t="shared" si="24"/>
        <v>1.6403339999999389</v>
      </c>
      <c r="G244">
        <f t="shared" si="25"/>
        <v>2.6906956315557995</v>
      </c>
      <c r="H244">
        <f t="shared" si="26"/>
        <v>-70.160399999999981</v>
      </c>
      <c r="I244">
        <f t="shared" si="27"/>
        <v>4922.4817281599971</v>
      </c>
    </row>
    <row r="245" spans="1:9" x14ac:dyDescent="0.3">
      <c r="A245">
        <v>21</v>
      </c>
      <c r="B245">
        <v>290</v>
      </c>
      <c r="C245">
        <f t="shared" si="21"/>
        <v>441</v>
      </c>
      <c r="D245">
        <f t="shared" si="22"/>
        <v>6090</v>
      </c>
      <c r="E245">
        <f t="shared" si="23"/>
        <v>730.168003</v>
      </c>
      <c r="F245">
        <f t="shared" si="24"/>
        <v>-440.168003</v>
      </c>
      <c r="G245">
        <f t="shared" si="25"/>
        <v>193747.87086500801</v>
      </c>
      <c r="H245">
        <f t="shared" si="26"/>
        <v>-596.16039999999998</v>
      </c>
      <c r="I245">
        <f t="shared" si="27"/>
        <v>355407.22252815997</v>
      </c>
    </row>
    <row r="246" spans="1:9" x14ac:dyDescent="0.3">
      <c r="A246">
        <v>196</v>
      </c>
      <c r="B246">
        <v>1083</v>
      </c>
      <c r="C246">
        <f t="shared" si="21"/>
        <v>38416</v>
      </c>
      <c r="D246">
        <f t="shared" si="22"/>
        <v>212268</v>
      </c>
      <c r="E246">
        <f t="shared" si="23"/>
        <v>791.30302800000004</v>
      </c>
      <c r="F246">
        <f t="shared" si="24"/>
        <v>291.69697199999996</v>
      </c>
      <c r="G246">
        <f t="shared" si="25"/>
        <v>85087.123473968764</v>
      </c>
      <c r="H246">
        <f t="shared" si="26"/>
        <v>196.83960000000002</v>
      </c>
      <c r="I246">
        <f t="shared" si="27"/>
        <v>38745.828128160007</v>
      </c>
    </row>
    <row r="247" spans="1:9" x14ac:dyDescent="0.3">
      <c r="A247">
        <v>31</v>
      </c>
      <c r="B247">
        <v>883</v>
      </c>
      <c r="C247">
        <f t="shared" si="21"/>
        <v>961</v>
      </c>
      <c r="D247">
        <f t="shared" si="22"/>
        <v>27373</v>
      </c>
      <c r="E247">
        <f t="shared" si="23"/>
        <v>733.66143299999999</v>
      </c>
      <c r="F247">
        <f t="shared" si="24"/>
        <v>149.33856700000001</v>
      </c>
      <c r="G247">
        <f t="shared" si="25"/>
        <v>22302.007593613493</v>
      </c>
      <c r="H247">
        <f t="shared" si="26"/>
        <v>-3.1603999999999814</v>
      </c>
      <c r="I247">
        <f t="shared" si="27"/>
        <v>9.9881281599998832</v>
      </c>
    </row>
    <row r="248" spans="1:9" x14ac:dyDescent="0.3">
      <c r="A248">
        <v>58</v>
      </c>
      <c r="B248">
        <v>819</v>
      </c>
      <c r="C248">
        <f t="shared" si="21"/>
        <v>3364</v>
      </c>
      <c r="D248">
        <f t="shared" si="22"/>
        <v>47502</v>
      </c>
      <c r="E248">
        <f t="shared" si="23"/>
        <v>743.09369400000003</v>
      </c>
      <c r="F248">
        <f t="shared" si="24"/>
        <v>75.906305999999972</v>
      </c>
      <c r="G248">
        <f t="shared" si="25"/>
        <v>5761.7672905656318</v>
      </c>
      <c r="H248">
        <f t="shared" si="26"/>
        <v>-67.160399999999981</v>
      </c>
      <c r="I248">
        <f t="shared" si="27"/>
        <v>4510.5193281599977</v>
      </c>
    </row>
    <row r="249" spans="1:9" x14ac:dyDescent="0.3">
      <c r="A249">
        <v>166</v>
      </c>
      <c r="B249">
        <v>562</v>
      </c>
      <c r="C249">
        <f t="shared" si="21"/>
        <v>27556</v>
      </c>
      <c r="D249">
        <f t="shared" si="22"/>
        <v>93292</v>
      </c>
      <c r="E249">
        <f t="shared" si="23"/>
        <v>780.82273800000007</v>
      </c>
      <c r="F249">
        <f t="shared" si="24"/>
        <v>-218.82273800000007</v>
      </c>
      <c r="G249">
        <f t="shared" si="25"/>
        <v>47883.390665816674</v>
      </c>
      <c r="H249">
        <f t="shared" si="26"/>
        <v>-324.16039999999998</v>
      </c>
      <c r="I249">
        <f t="shared" si="27"/>
        <v>105079.96492815998</v>
      </c>
    </row>
    <row r="250" spans="1:9" x14ac:dyDescent="0.3">
      <c r="A250">
        <v>232</v>
      </c>
      <c r="B250">
        <v>875</v>
      </c>
      <c r="C250">
        <f t="shared" si="21"/>
        <v>53824</v>
      </c>
      <c r="D250">
        <f t="shared" si="22"/>
        <v>203000</v>
      </c>
      <c r="E250">
        <f t="shared" si="23"/>
        <v>803.87937600000009</v>
      </c>
      <c r="F250">
        <f t="shared" si="24"/>
        <v>71.120623999999907</v>
      </c>
      <c r="G250">
        <f t="shared" si="25"/>
        <v>5058.1431581493625</v>
      </c>
      <c r="H250">
        <f t="shared" si="26"/>
        <v>-11.160399999999981</v>
      </c>
      <c r="I250">
        <f t="shared" si="27"/>
        <v>124.55452815999959</v>
      </c>
    </row>
    <row r="251" spans="1:9" x14ac:dyDescent="0.3">
      <c r="A251">
        <v>250</v>
      </c>
      <c r="B251">
        <v>858</v>
      </c>
      <c r="C251">
        <f t="shared" si="21"/>
        <v>62500</v>
      </c>
      <c r="D251">
        <f t="shared" si="22"/>
        <v>214500</v>
      </c>
      <c r="E251">
        <f t="shared" si="23"/>
        <v>810.16755000000001</v>
      </c>
      <c r="F251">
        <f t="shared" si="24"/>
        <v>47.832449999999994</v>
      </c>
      <c r="G251">
        <f t="shared" si="25"/>
        <v>2287.9432730024996</v>
      </c>
      <c r="H251">
        <f t="shared" si="26"/>
        <v>-28.160399999999981</v>
      </c>
      <c r="I251">
        <f t="shared" si="27"/>
        <v>793.00812815999893</v>
      </c>
    </row>
    <row r="252" spans="1:9" x14ac:dyDescent="0.3">
      <c r="A252">
        <v>221</v>
      </c>
      <c r="B252">
        <v>1231</v>
      </c>
      <c r="C252">
        <f t="shared" si="21"/>
        <v>48841</v>
      </c>
      <c r="D252">
        <f t="shared" si="22"/>
        <v>272051</v>
      </c>
      <c r="E252">
        <f t="shared" si="23"/>
        <v>800.03660300000001</v>
      </c>
      <c r="F252">
        <f t="shared" si="24"/>
        <v>430.96339699999999</v>
      </c>
      <c r="G252">
        <f t="shared" si="25"/>
        <v>185729.44955377959</v>
      </c>
      <c r="H252">
        <f t="shared" si="26"/>
        <v>344.83960000000002</v>
      </c>
      <c r="I252">
        <f t="shared" si="27"/>
        <v>118914.34972816001</v>
      </c>
    </row>
    <row r="253" spans="1:9" x14ac:dyDescent="0.3">
      <c r="A253">
        <v>1571</v>
      </c>
      <c r="B253">
        <v>1441</v>
      </c>
      <c r="C253">
        <f t="shared" si="21"/>
        <v>2468041</v>
      </c>
      <c r="D253">
        <f t="shared" si="22"/>
        <v>2263811</v>
      </c>
      <c r="E253">
        <f t="shared" si="23"/>
        <v>1271.6496529999999</v>
      </c>
      <c r="F253">
        <f t="shared" si="24"/>
        <v>169.35034700000006</v>
      </c>
      <c r="G253">
        <f t="shared" si="25"/>
        <v>28679.540029020427</v>
      </c>
      <c r="H253">
        <f t="shared" si="26"/>
        <v>554.83960000000002</v>
      </c>
      <c r="I253">
        <f t="shared" si="27"/>
        <v>307846.98172816</v>
      </c>
    </row>
    <row r="254" spans="1:9" x14ac:dyDescent="0.3">
      <c r="A254">
        <v>140</v>
      </c>
      <c r="B254">
        <v>700</v>
      </c>
      <c r="C254">
        <f t="shared" si="21"/>
        <v>19600</v>
      </c>
      <c r="D254">
        <f t="shared" si="22"/>
        <v>98000</v>
      </c>
      <c r="E254">
        <f t="shared" si="23"/>
        <v>771.73982000000001</v>
      </c>
      <c r="F254">
        <f t="shared" si="24"/>
        <v>-71.739820000000009</v>
      </c>
      <c r="G254">
        <f t="shared" si="25"/>
        <v>5146.6017736324011</v>
      </c>
      <c r="H254">
        <f t="shared" si="26"/>
        <v>-186.16039999999998</v>
      </c>
      <c r="I254">
        <f t="shared" si="27"/>
        <v>34655.694528159991</v>
      </c>
    </row>
    <row r="255" spans="1:9" x14ac:dyDescent="0.3">
      <c r="A255">
        <v>33</v>
      </c>
      <c r="B255">
        <v>122</v>
      </c>
      <c r="C255">
        <f t="shared" si="21"/>
        <v>1089</v>
      </c>
      <c r="D255">
        <f t="shared" si="22"/>
        <v>4026</v>
      </c>
      <c r="E255">
        <f t="shared" si="23"/>
        <v>734.36011900000005</v>
      </c>
      <c r="F255">
        <f t="shared" si="24"/>
        <v>-612.36011900000005</v>
      </c>
      <c r="G255">
        <f t="shared" si="25"/>
        <v>374984.9153416942</v>
      </c>
      <c r="H255">
        <f t="shared" si="26"/>
        <v>-764.16039999999998</v>
      </c>
      <c r="I255">
        <f t="shared" si="27"/>
        <v>583941.11692815996</v>
      </c>
    </row>
    <row r="256" spans="1:9" x14ac:dyDescent="0.3">
      <c r="A256">
        <v>274</v>
      </c>
      <c r="B256">
        <v>1095</v>
      </c>
      <c r="C256">
        <f t="shared" si="21"/>
        <v>75076</v>
      </c>
      <c r="D256">
        <f t="shared" si="22"/>
        <v>300030</v>
      </c>
      <c r="E256">
        <f t="shared" si="23"/>
        <v>818.551782</v>
      </c>
      <c r="F256">
        <f t="shared" si="24"/>
        <v>276.448218</v>
      </c>
      <c r="G256">
        <f t="shared" si="25"/>
        <v>76423.617235375525</v>
      </c>
      <c r="H256">
        <f t="shared" si="26"/>
        <v>208.83960000000002</v>
      </c>
      <c r="I256">
        <f t="shared" si="27"/>
        <v>43613.978528160005</v>
      </c>
    </row>
    <row r="257" spans="1:9" x14ac:dyDescent="0.3">
      <c r="A257">
        <v>338</v>
      </c>
      <c r="B257">
        <v>706</v>
      </c>
      <c r="C257">
        <f t="shared" si="21"/>
        <v>114244</v>
      </c>
      <c r="D257">
        <f t="shared" si="22"/>
        <v>238628</v>
      </c>
      <c r="E257">
        <f t="shared" si="23"/>
        <v>840.90973400000007</v>
      </c>
      <c r="F257">
        <f t="shared" si="24"/>
        <v>-134.90973400000007</v>
      </c>
      <c r="G257">
        <f t="shared" si="25"/>
        <v>18200.636327950775</v>
      </c>
      <c r="H257">
        <f t="shared" si="26"/>
        <v>-180.16039999999998</v>
      </c>
      <c r="I257">
        <f t="shared" si="27"/>
        <v>32457.769728159994</v>
      </c>
    </row>
    <row r="258" spans="1:9" x14ac:dyDescent="0.3">
      <c r="A258">
        <v>660</v>
      </c>
      <c r="B258">
        <v>933</v>
      </c>
      <c r="C258">
        <f t="shared" si="21"/>
        <v>435600</v>
      </c>
      <c r="D258">
        <f t="shared" si="22"/>
        <v>615780</v>
      </c>
      <c r="E258">
        <f t="shared" si="23"/>
        <v>953.39818000000002</v>
      </c>
      <c r="F258">
        <f t="shared" si="24"/>
        <v>-20.398180000000025</v>
      </c>
      <c r="G258">
        <f t="shared" si="25"/>
        <v>416.085747312401</v>
      </c>
      <c r="H258">
        <f t="shared" si="26"/>
        <v>46.839600000000019</v>
      </c>
      <c r="I258">
        <f t="shared" si="27"/>
        <v>2193.9481281600019</v>
      </c>
    </row>
    <row r="259" spans="1:9" x14ac:dyDescent="0.3">
      <c r="A259">
        <v>534</v>
      </c>
      <c r="B259">
        <v>1446</v>
      </c>
      <c r="C259">
        <f t="shared" ref="C259:C322" si="28">PRODUCT(A259,A259)</f>
        <v>285156</v>
      </c>
      <c r="D259">
        <f t="shared" ref="D259:D322" si="29">PRODUCT(A259,B259)</f>
        <v>772164</v>
      </c>
      <c r="E259">
        <f t="shared" ref="E259:E322" si="30">722.8318+PRODUCT(0.349343,A259)</f>
        <v>909.38096200000007</v>
      </c>
      <c r="F259">
        <f t="shared" ref="F259:F322" si="31">B259-E259</f>
        <v>536.61903799999993</v>
      </c>
      <c r="G259">
        <f t="shared" ref="G259:G322" si="32">PRODUCT(F259,F259)</f>
        <v>287959.99194404535</v>
      </c>
      <c r="H259">
        <f t="shared" ref="H259:H322" si="33">B259-886.1604</f>
        <v>559.83960000000002</v>
      </c>
      <c r="I259">
        <f t="shared" ref="I259:I322" si="34">PRODUCT(H259,H259)</f>
        <v>313420.37772816001</v>
      </c>
    </row>
    <row r="260" spans="1:9" x14ac:dyDescent="0.3">
      <c r="A260">
        <v>393</v>
      </c>
      <c r="B260">
        <v>991</v>
      </c>
      <c r="C260">
        <f t="shared" si="28"/>
        <v>154449</v>
      </c>
      <c r="D260">
        <f t="shared" si="29"/>
        <v>389463</v>
      </c>
      <c r="E260">
        <f t="shared" si="30"/>
        <v>860.12359900000001</v>
      </c>
      <c r="F260">
        <f t="shared" si="31"/>
        <v>130.87640099999999</v>
      </c>
      <c r="G260">
        <f t="shared" si="32"/>
        <v>17128.632338712796</v>
      </c>
      <c r="H260">
        <f t="shared" si="33"/>
        <v>104.83960000000002</v>
      </c>
      <c r="I260">
        <f t="shared" si="34"/>
        <v>10991.341728160003</v>
      </c>
    </row>
    <row r="261" spans="1:9" x14ac:dyDescent="0.3">
      <c r="A261">
        <v>330</v>
      </c>
      <c r="B261">
        <v>983</v>
      </c>
      <c r="C261">
        <f t="shared" si="28"/>
        <v>108900</v>
      </c>
      <c r="D261">
        <f t="shared" si="29"/>
        <v>324390</v>
      </c>
      <c r="E261">
        <f t="shared" si="30"/>
        <v>838.11499000000003</v>
      </c>
      <c r="F261">
        <f t="shared" si="31"/>
        <v>144.88500999999997</v>
      </c>
      <c r="G261">
        <f t="shared" si="32"/>
        <v>20991.666122700091</v>
      </c>
      <c r="H261">
        <f t="shared" si="33"/>
        <v>96.839600000000019</v>
      </c>
      <c r="I261">
        <f t="shared" si="34"/>
        <v>9377.9081281600029</v>
      </c>
    </row>
    <row r="262" spans="1:9" x14ac:dyDescent="0.3">
      <c r="A262">
        <v>1278</v>
      </c>
      <c r="B262">
        <v>1003</v>
      </c>
      <c r="C262">
        <f t="shared" si="28"/>
        <v>1633284</v>
      </c>
      <c r="D262">
        <f t="shared" si="29"/>
        <v>1281834</v>
      </c>
      <c r="E262">
        <f t="shared" si="30"/>
        <v>1169.292154</v>
      </c>
      <c r="F262">
        <f t="shared" si="31"/>
        <v>-166.29215399999998</v>
      </c>
      <c r="G262">
        <f t="shared" si="32"/>
        <v>27653.080481959711</v>
      </c>
      <c r="H262">
        <f t="shared" si="33"/>
        <v>116.83960000000002</v>
      </c>
      <c r="I262">
        <f t="shared" si="34"/>
        <v>13651.492128160004</v>
      </c>
    </row>
    <row r="263" spans="1:9" x14ac:dyDescent="0.3">
      <c r="A263">
        <v>204</v>
      </c>
      <c r="B263">
        <v>806</v>
      </c>
      <c r="C263">
        <f t="shared" si="28"/>
        <v>41616</v>
      </c>
      <c r="D263">
        <f t="shared" si="29"/>
        <v>164424</v>
      </c>
      <c r="E263">
        <f t="shared" si="30"/>
        <v>794.09777200000008</v>
      </c>
      <c r="F263">
        <f t="shared" si="31"/>
        <v>11.902227999999923</v>
      </c>
      <c r="G263">
        <f t="shared" si="32"/>
        <v>141.66303136398216</v>
      </c>
      <c r="H263">
        <f t="shared" si="33"/>
        <v>-80.160399999999981</v>
      </c>
      <c r="I263">
        <f t="shared" si="34"/>
        <v>6425.6897281599968</v>
      </c>
    </row>
    <row r="264" spans="1:9" x14ac:dyDescent="0.3">
      <c r="A264">
        <v>600</v>
      </c>
      <c r="B264">
        <v>922</v>
      </c>
      <c r="C264">
        <f t="shared" si="28"/>
        <v>360000</v>
      </c>
      <c r="D264">
        <f t="shared" si="29"/>
        <v>553200</v>
      </c>
      <c r="E264">
        <f t="shared" si="30"/>
        <v>932.43760000000009</v>
      </c>
      <c r="F264">
        <f t="shared" si="31"/>
        <v>-10.437600000000089</v>
      </c>
      <c r="G264">
        <f t="shared" si="32"/>
        <v>108.94349376000184</v>
      </c>
      <c r="H264">
        <f t="shared" si="33"/>
        <v>35.839600000000019</v>
      </c>
      <c r="I264">
        <f t="shared" si="34"/>
        <v>1284.4769281600013</v>
      </c>
    </row>
    <row r="265" spans="1:9" x14ac:dyDescent="0.3">
      <c r="A265">
        <v>188</v>
      </c>
      <c r="B265">
        <v>1077</v>
      </c>
      <c r="C265">
        <f t="shared" si="28"/>
        <v>35344</v>
      </c>
      <c r="D265">
        <f t="shared" si="29"/>
        <v>202476</v>
      </c>
      <c r="E265">
        <f t="shared" si="30"/>
        <v>788.508284</v>
      </c>
      <c r="F265">
        <f t="shared" si="31"/>
        <v>288.491716</v>
      </c>
      <c r="G265">
        <f t="shared" si="32"/>
        <v>83227.470200624652</v>
      </c>
      <c r="H265">
        <f t="shared" si="33"/>
        <v>190.83960000000002</v>
      </c>
      <c r="I265">
        <f t="shared" si="34"/>
        <v>36419.752928160007</v>
      </c>
    </row>
    <row r="266" spans="1:9" x14ac:dyDescent="0.3">
      <c r="A266">
        <v>117</v>
      </c>
      <c r="B266">
        <v>906</v>
      </c>
      <c r="C266">
        <f t="shared" si="28"/>
        <v>13689</v>
      </c>
      <c r="D266">
        <f t="shared" si="29"/>
        <v>106002</v>
      </c>
      <c r="E266">
        <f t="shared" si="30"/>
        <v>763.70493099999999</v>
      </c>
      <c r="F266">
        <f t="shared" si="31"/>
        <v>142.29506900000001</v>
      </c>
      <c r="G266">
        <f t="shared" si="32"/>
        <v>20247.886661714765</v>
      </c>
      <c r="H266">
        <f t="shared" si="33"/>
        <v>19.839600000000019</v>
      </c>
      <c r="I266">
        <f t="shared" si="34"/>
        <v>393.60972816000071</v>
      </c>
    </row>
    <row r="267" spans="1:9" x14ac:dyDescent="0.3">
      <c r="A267">
        <v>598</v>
      </c>
      <c r="B267">
        <v>989</v>
      </c>
      <c r="C267">
        <f t="shared" si="28"/>
        <v>357604</v>
      </c>
      <c r="D267">
        <f t="shared" si="29"/>
        <v>591422</v>
      </c>
      <c r="E267">
        <f t="shared" si="30"/>
        <v>931.73891400000002</v>
      </c>
      <c r="F267">
        <f t="shared" si="31"/>
        <v>57.261085999999978</v>
      </c>
      <c r="G267">
        <f t="shared" si="32"/>
        <v>3278.8319698993932</v>
      </c>
      <c r="H267">
        <f t="shared" si="33"/>
        <v>102.83960000000002</v>
      </c>
      <c r="I267">
        <f t="shared" si="34"/>
        <v>10575.983328160004</v>
      </c>
    </row>
    <row r="268" spans="1:9" x14ac:dyDescent="0.3">
      <c r="A268">
        <v>165</v>
      </c>
      <c r="B268">
        <v>767</v>
      </c>
      <c r="C268">
        <f t="shared" si="28"/>
        <v>27225</v>
      </c>
      <c r="D268">
        <f t="shared" si="29"/>
        <v>126555</v>
      </c>
      <c r="E268">
        <f t="shared" si="30"/>
        <v>780.4733950000001</v>
      </c>
      <c r="F268">
        <f t="shared" si="31"/>
        <v>-13.473395000000096</v>
      </c>
      <c r="G268">
        <f t="shared" si="32"/>
        <v>181.5323728260276</v>
      </c>
      <c r="H268">
        <f t="shared" si="33"/>
        <v>-119.16039999999998</v>
      </c>
      <c r="I268">
        <f t="shared" si="34"/>
        <v>14199.200928159995</v>
      </c>
    </row>
    <row r="269" spans="1:9" x14ac:dyDescent="0.3">
      <c r="A269">
        <v>197</v>
      </c>
      <c r="B269">
        <v>779</v>
      </c>
      <c r="C269">
        <f t="shared" si="28"/>
        <v>38809</v>
      </c>
      <c r="D269">
        <f t="shared" si="29"/>
        <v>153463</v>
      </c>
      <c r="E269">
        <f t="shared" si="30"/>
        <v>791.65237100000002</v>
      </c>
      <c r="F269">
        <f t="shared" si="31"/>
        <v>-12.652371000000016</v>
      </c>
      <c r="G269">
        <f t="shared" si="32"/>
        <v>160.08249192164141</v>
      </c>
      <c r="H269">
        <f t="shared" si="33"/>
        <v>-107.16039999999998</v>
      </c>
      <c r="I269">
        <f t="shared" si="34"/>
        <v>11483.351328159995</v>
      </c>
    </row>
    <row r="270" spans="1:9" x14ac:dyDescent="0.3">
      <c r="A270">
        <v>375</v>
      </c>
      <c r="B270">
        <v>739</v>
      </c>
      <c r="C270">
        <f t="shared" si="28"/>
        <v>140625</v>
      </c>
      <c r="D270">
        <f t="shared" si="29"/>
        <v>277125</v>
      </c>
      <c r="E270">
        <f t="shared" si="30"/>
        <v>853.83542499999999</v>
      </c>
      <c r="F270">
        <f t="shared" si="31"/>
        <v>-114.83542499999999</v>
      </c>
      <c r="G270">
        <f t="shared" si="32"/>
        <v>13187.174834930622</v>
      </c>
      <c r="H270">
        <f t="shared" si="33"/>
        <v>-147.16039999999998</v>
      </c>
      <c r="I270">
        <f t="shared" si="34"/>
        <v>21656.183328159994</v>
      </c>
    </row>
    <row r="271" spans="1:9" x14ac:dyDescent="0.3">
      <c r="A271">
        <v>297</v>
      </c>
      <c r="B271">
        <v>687</v>
      </c>
      <c r="C271">
        <f t="shared" si="28"/>
        <v>88209</v>
      </c>
      <c r="D271">
        <f t="shared" si="29"/>
        <v>204039</v>
      </c>
      <c r="E271">
        <f t="shared" si="30"/>
        <v>826.58667100000002</v>
      </c>
      <c r="F271">
        <f t="shared" si="31"/>
        <v>-139.58667100000002</v>
      </c>
      <c r="G271">
        <f t="shared" si="32"/>
        <v>19484.438720862247</v>
      </c>
      <c r="H271">
        <f t="shared" si="33"/>
        <v>-199.16039999999998</v>
      </c>
      <c r="I271">
        <f t="shared" si="34"/>
        <v>39664.864928159994</v>
      </c>
    </row>
    <row r="272" spans="1:9" x14ac:dyDescent="0.3">
      <c r="A272">
        <v>734</v>
      </c>
      <c r="B272">
        <v>1338</v>
      </c>
      <c r="C272">
        <f t="shared" si="28"/>
        <v>538756</v>
      </c>
      <c r="D272">
        <f t="shared" si="29"/>
        <v>982092</v>
      </c>
      <c r="E272">
        <f t="shared" si="30"/>
        <v>979.24956200000008</v>
      </c>
      <c r="F272">
        <f t="shared" si="31"/>
        <v>358.75043799999992</v>
      </c>
      <c r="G272">
        <f t="shared" si="32"/>
        <v>128701.87676519179</v>
      </c>
      <c r="H272">
        <f t="shared" si="33"/>
        <v>451.83960000000002</v>
      </c>
      <c r="I272">
        <f t="shared" si="34"/>
        <v>204159.02412816</v>
      </c>
    </row>
    <row r="273" spans="1:9" x14ac:dyDescent="0.3">
      <c r="A273">
        <v>113</v>
      </c>
      <c r="B273">
        <v>476</v>
      </c>
      <c r="C273">
        <f t="shared" si="28"/>
        <v>12769</v>
      </c>
      <c r="D273">
        <f t="shared" si="29"/>
        <v>53788</v>
      </c>
      <c r="E273">
        <f t="shared" si="30"/>
        <v>762.30755900000008</v>
      </c>
      <c r="F273">
        <f t="shared" si="31"/>
        <v>-286.30755900000008</v>
      </c>
      <c r="G273">
        <f t="shared" si="32"/>
        <v>81972.018340538532</v>
      </c>
      <c r="H273">
        <f t="shared" si="33"/>
        <v>-410.16039999999998</v>
      </c>
      <c r="I273">
        <f t="shared" si="34"/>
        <v>168231.55372815998</v>
      </c>
    </row>
    <row r="274" spans="1:9" x14ac:dyDescent="0.3">
      <c r="A274">
        <v>138</v>
      </c>
      <c r="B274">
        <v>490</v>
      </c>
      <c r="C274">
        <f t="shared" si="28"/>
        <v>19044</v>
      </c>
      <c r="D274">
        <f t="shared" si="29"/>
        <v>67620</v>
      </c>
      <c r="E274">
        <f t="shared" si="30"/>
        <v>771.04113400000006</v>
      </c>
      <c r="F274">
        <f t="shared" si="31"/>
        <v>-281.04113400000006</v>
      </c>
      <c r="G274">
        <f t="shared" si="32"/>
        <v>78984.119000005987</v>
      </c>
      <c r="H274">
        <f t="shared" si="33"/>
        <v>-396.16039999999998</v>
      </c>
      <c r="I274">
        <f t="shared" si="34"/>
        <v>156943.06252815999</v>
      </c>
    </row>
    <row r="275" spans="1:9" x14ac:dyDescent="0.3">
      <c r="A275">
        <v>372</v>
      </c>
      <c r="B275">
        <v>651</v>
      </c>
      <c r="C275">
        <f t="shared" si="28"/>
        <v>138384</v>
      </c>
      <c r="D275">
        <f t="shared" si="29"/>
        <v>242172</v>
      </c>
      <c r="E275">
        <f t="shared" si="30"/>
        <v>852.78739600000006</v>
      </c>
      <c r="F275">
        <f t="shared" si="31"/>
        <v>-201.78739600000006</v>
      </c>
      <c r="G275">
        <f t="shared" si="32"/>
        <v>40718.15318446084</v>
      </c>
      <c r="H275">
        <f t="shared" si="33"/>
        <v>-235.16039999999998</v>
      </c>
      <c r="I275">
        <f t="shared" si="34"/>
        <v>55300.413728159991</v>
      </c>
    </row>
    <row r="276" spans="1:9" x14ac:dyDescent="0.3">
      <c r="A276">
        <v>1307</v>
      </c>
      <c r="B276">
        <v>1216</v>
      </c>
      <c r="C276">
        <f t="shared" si="28"/>
        <v>1708249</v>
      </c>
      <c r="D276">
        <f t="shared" si="29"/>
        <v>1589312</v>
      </c>
      <c r="E276">
        <f t="shared" si="30"/>
        <v>1179.4231010000001</v>
      </c>
      <c r="F276">
        <f t="shared" si="31"/>
        <v>36.576898999999912</v>
      </c>
      <c r="G276">
        <f t="shared" si="32"/>
        <v>1337.8695404561945</v>
      </c>
      <c r="H276">
        <f t="shared" si="33"/>
        <v>329.83960000000002</v>
      </c>
      <c r="I276">
        <f t="shared" si="34"/>
        <v>108794.16172816002</v>
      </c>
    </row>
    <row r="277" spans="1:9" x14ac:dyDescent="0.3">
      <c r="A277">
        <v>581</v>
      </c>
      <c r="B277">
        <v>1413</v>
      </c>
      <c r="C277">
        <f t="shared" si="28"/>
        <v>337561</v>
      </c>
      <c r="D277">
        <f t="shared" si="29"/>
        <v>820953</v>
      </c>
      <c r="E277">
        <f t="shared" si="30"/>
        <v>925.80008300000009</v>
      </c>
      <c r="F277">
        <f t="shared" si="31"/>
        <v>487.19991699999991</v>
      </c>
      <c r="G277">
        <f t="shared" si="32"/>
        <v>237363.75912480679</v>
      </c>
      <c r="H277">
        <f t="shared" si="33"/>
        <v>526.83960000000002</v>
      </c>
      <c r="I277">
        <f t="shared" si="34"/>
        <v>277559.96412816003</v>
      </c>
    </row>
    <row r="278" spans="1:9" x14ac:dyDescent="0.3">
      <c r="A278">
        <v>131</v>
      </c>
      <c r="B278">
        <v>610</v>
      </c>
      <c r="C278">
        <f t="shared" si="28"/>
        <v>17161</v>
      </c>
      <c r="D278">
        <f t="shared" si="29"/>
        <v>79910</v>
      </c>
      <c r="E278">
        <f t="shared" si="30"/>
        <v>768.595733</v>
      </c>
      <c r="F278">
        <f t="shared" si="31"/>
        <v>-158.595733</v>
      </c>
      <c r="G278">
        <f t="shared" si="32"/>
        <v>25152.606525807289</v>
      </c>
      <c r="H278">
        <f t="shared" si="33"/>
        <v>-276.16039999999998</v>
      </c>
      <c r="I278">
        <f t="shared" si="34"/>
        <v>76264.566528159994</v>
      </c>
    </row>
    <row r="279" spans="1:9" x14ac:dyDescent="0.3">
      <c r="A279">
        <v>230</v>
      </c>
      <c r="B279">
        <v>811</v>
      </c>
      <c r="C279">
        <f t="shared" si="28"/>
        <v>52900</v>
      </c>
      <c r="D279">
        <f t="shared" si="29"/>
        <v>186530</v>
      </c>
      <c r="E279">
        <f t="shared" si="30"/>
        <v>803.18069000000003</v>
      </c>
      <c r="F279">
        <f t="shared" si="31"/>
        <v>7.8193099999999731</v>
      </c>
      <c r="G279">
        <f t="shared" si="32"/>
        <v>61.141608876099582</v>
      </c>
      <c r="H279">
        <f t="shared" si="33"/>
        <v>-75.160399999999981</v>
      </c>
      <c r="I279">
        <f t="shared" si="34"/>
        <v>5649.0857281599974</v>
      </c>
    </row>
    <row r="280" spans="1:9" x14ac:dyDescent="0.3">
      <c r="A280">
        <v>402</v>
      </c>
      <c r="B280">
        <v>701</v>
      </c>
      <c r="C280">
        <f t="shared" si="28"/>
        <v>161604</v>
      </c>
      <c r="D280">
        <f t="shared" si="29"/>
        <v>281802</v>
      </c>
      <c r="E280">
        <f t="shared" si="30"/>
        <v>863.26768600000003</v>
      </c>
      <c r="F280">
        <f t="shared" si="31"/>
        <v>-162.26768600000003</v>
      </c>
      <c r="G280">
        <f t="shared" si="32"/>
        <v>26330.801919794605</v>
      </c>
      <c r="H280">
        <f t="shared" si="33"/>
        <v>-185.16039999999998</v>
      </c>
      <c r="I280">
        <f t="shared" si="34"/>
        <v>34284.37372815999</v>
      </c>
    </row>
    <row r="281" spans="1:9" x14ac:dyDescent="0.3">
      <c r="A281">
        <v>235</v>
      </c>
      <c r="B281">
        <v>352</v>
      </c>
      <c r="C281">
        <f t="shared" si="28"/>
        <v>55225</v>
      </c>
      <c r="D281">
        <f t="shared" si="29"/>
        <v>82720</v>
      </c>
      <c r="E281">
        <f t="shared" si="30"/>
        <v>804.92740500000002</v>
      </c>
      <c r="F281">
        <f t="shared" si="31"/>
        <v>-452.92740500000002</v>
      </c>
      <c r="G281">
        <f t="shared" si="32"/>
        <v>205143.23420003406</v>
      </c>
      <c r="H281">
        <f t="shared" si="33"/>
        <v>-534.16039999999998</v>
      </c>
      <c r="I281">
        <f t="shared" si="34"/>
        <v>285327.33292815997</v>
      </c>
    </row>
    <row r="282" spans="1:9" x14ac:dyDescent="0.3">
      <c r="A282">
        <v>1154</v>
      </c>
      <c r="B282">
        <v>527</v>
      </c>
      <c r="C282">
        <f t="shared" si="28"/>
        <v>1331716</v>
      </c>
      <c r="D282">
        <f t="shared" si="29"/>
        <v>608158</v>
      </c>
      <c r="E282">
        <f t="shared" si="30"/>
        <v>1125.973622</v>
      </c>
      <c r="F282">
        <f t="shared" si="31"/>
        <v>-598.97362199999998</v>
      </c>
      <c r="G282">
        <f t="shared" si="32"/>
        <v>358769.39985179884</v>
      </c>
      <c r="H282">
        <f t="shared" si="33"/>
        <v>-359.16039999999998</v>
      </c>
      <c r="I282">
        <f t="shared" si="34"/>
        <v>128996.19292815999</v>
      </c>
    </row>
    <row r="283" spans="1:9" x14ac:dyDescent="0.3">
      <c r="A283">
        <v>262</v>
      </c>
      <c r="B283">
        <v>955</v>
      </c>
      <c r="C283">
        <f t="shared" si="28"/>
        <v>68644</v>
      </c>
      <c r="D283">
        <f t="shared" si="29"/>
        <v>250210</v>
      </c>
      <c r="E283">
        <f t="shared" si="30"/>
        <v>814.35966600000006</v>
      </c>
      <c r="F283">
        <f t="shared" si="31"/>
        <v>140.64033399999994</v>
      </c>
      <c r="G283">
        <f t="shared" si="32"/>
        <v>19779.70354763154</v>
      </c>
      <c r="H283">
        <f t="shared" si="33"/>
        <v>68.839600000000019</v>
      </c>
      <c r="I283">
        <f t="shared" si="34"/>
        <v>4738.8905281600028</v>
      </c>
    </row>
    <row r="284" spans="1:9" x14ac:dyDescent="0.3">
      <c r="A284">
        <v>459</v>
      </c>
      <c r="B284">
        <v>947</v>
      </c>
      <c r="C284">
        <f t="shared" si="28"/>
        <v>210681</v>
      </c>
      <c r="D284">
        <f t="shared" si="29"/>
        <v>434673</v>
      </c>
      <c r="E284">
        <f t="shared" si="30"/>
        <v>883.18023700000003</v>
      </c>
      <c r="F284">
        <f t="shared" si="31"/>
        <v>63.819762999999966</v>
      </c>
      <c r="G284">
        <f t="shared" si="32"/>
        <v>4072.9621493761647</v>
      </c>
      <c r="H284">
        <f t="shared" si="33"/>
        <v>60.839600000000019</v>
      </c>
      <c r="I284">
        <f t="shared" si="34"/>
        <v>3701.4569281600025</v>
      </c>
    </row>
    <row r="285" spans="1:9" x14ac:dyDescent="0.3">
      <c r="A285">
        <v>234</v>
      </c>
      <c r="B285">
        <v>624</v>
      </c>
      <c r="C285">
        <f t="shared" si="28"/>
        <v>54756</v>
      </c>
      <c r="D285">
        <f t="shared" si="29"/>
        <v>146016</v>
      </c>
      <c r="E285">
        <f t="shared" si="30"/>
        <v>804.57806200000005</v>
      </c>
      <c r="F285">
        <f t="shared" si="31"/>
        <v>-180.57806200000005</v>
      </c>
      <c r="G285">
        <f t="shared" si="32"/>
        <v>32608.436475675859</v>
      </c>
      <c r="H285">
        <f t="shared" si="33"/>
        <v>-262.16039999999998</v>
      </c>
      <c r="I285">
        <f t="shared" si="34"/>
        <v>68728.07532815999</v>
      </c>
    </row>
    <row r="286" spans="1:9" x14ac:dyDescent="0.3">
      <c r="A286">
        <v>67</v>
      </c>
      <c r="B286">
        <v>628</v>
      </c>
      <c r="C286">
        <f t="shared" si="28"/>
        <v>4489</v>
      </c>
      <c r="D286">
        <f t="shared" si="29"/>
        <v>42076</v>
      </c>
      <c r="E286">
        <f t="shared" si="30"/>
        <v>746.23778100000004</v>
      </c>
      <c r="F286">
        <f t="shared" si="31"/>
        <v>-118.23778100000004</v>
      </c>
      <c r="G286">
        <f t="shared" si="32"/>
        <v>13980.17285580397</v>
      </c>
      <c r="H286">
        <f t="shared" si="33"/>
        <v>-258.16039999999998</v>
      </c>
      <c r="I286">
        <f t="shared" si="34"/>
        <v>66646.792128159985</v>
      </c>
    </row>
    <row r="287" spans="1:9" x14ac:dyDescent="0.3">
      <c r="A287">
        <v>115</v>
      </c>
      <c r="B287">
        <v>1001</v>
      </c>
      <c r="C287">
        <f t="shared" si="28"/>
        <v>13225</v>
      </c>
      <c r="D287">
        <f t="shared" si="29"/>
        <v>115115</v>
      </c>
      <c r="E287">
        <f t="shared" si="30"/>
        <v>763.00624500000004</v>
      </c>
      <c r="F287">
        <f t="shared" si="31"/>
        <v>237.99375499999996</v>
      </c>
      <c r="G287">
        <f t="shared" si="32"/>
        <v>56641.027419000005</v>
      </c>
      <c r="H287">
        <f t="shared" si="33"/>
        <v>114.83960000000002</v>
      </c>
      <c r="I287">
        <f t="shared" si="34"/>
        <v>13188.133728160004</v>
      </c>
    </row>
    <row r="288" spans="1:9" x14ac:dyDescent="0.3">
      <c r="A288">
        <v>54</v>
      </c>
      <c r="B288">
        <v>642</v>
      </c>
      <c r="C288">
        <f t="shared" si="28"/>
        <v>2916</v>
      </c>
      <c r="D288">
        <f t="shared" si="29"/>
        <v>34668</v>
      </c>
      <c r="E288">
        <f t="shared" si="30"/>
        <v>741.69632200000001</v>
      </c>
      <c r="F288">
        <f t="shared" si="31"/>
        <v>-99.696322000000009</v>
      </c>
      <c r="G288">
        <f t="shared" si="32"/>
        <v>9939.356620327686</v>
      </c>
      <c r="H288">
        <f t="shared" si="33"/>
        <v>-244.16039999999998</v>
      </c>
      <c r="I288">
        <f t="shared" si="34"/>
        <v>59614.300928159988</v>
      </c>
    </row>
    <row r="289" spans="1:9" x14ac:dyDescent="0.3">
      <c r="A289">
        <v>376</v>
      </c>
      <c r="B289">
        <v>851</v>
      </c>
      <c r="C289">
        <f t="shared" si="28"/>
        <v>141376</v>
      </c>
      <c r="D289">
        <f t="shared" si="29"/>
        <v>319976</v>
      </c>
      <c r="E289">
        <f t="shared" si="30"/>
        <v>854.18476800000008</v>
      </c>
      <c r="F289">
        <f t="shared" si="31"/>
        <v>-3.1847680000000764</v>
      </c>
      <c r="G289">
        <f t="shared" si="32"/>
        <v>10.142747213824487</v>
      </c>
      <c r="H289">
        <f t="shared" si="33"/>
        <v>-35.160399999999981</v>
      </c>
      <c r="I289">
        <f t="shared" si="34"/>
        <v>1236.2537281599987</v>
      </c>
    </row>
    <row r="290" spans="1:9" x14ac:dyDescent="0.3">
      <c r="A290">
        <v>789</v>
      </c>
      <c r="B290">
        <v>1152</v>
      </c>
      <c r="C290">
        <f t="shared" si="28"/>
        <v>622521</v>
      </c>
      <c r="D290">
        <f t="shared" si="29"/>
        <v>908928</v>
      </c>
      <c r="E290">
        <f t="shared" si="30"/>
        <v>998.46342700000014</v>
      </c>
      <c r="F290">
        <f t="shared" si="31"/>
        <v>153.53657299999986</v>
      </c>
      <c r="G290">
        <f t="shared" si="32"/>
        <v>23573.479248584288</v>
      </c>
      <c r="H290">
        <f t="shared" si="33"/>
        <v>265.83960000000002</v>
      </c>
      <c r="I290">
        <f t="shared" si="34"/>
        <v>70670.692928160017</v>
      </c>
    </row>
    <row r="291" spans="1:9" x14ac:dyDescent="0.3">
      <c r="A291">
        <v>51</v>
      </c>
      <c r="B291">
        <v>451</v>
      </c>
      <c r="C291">
        <f t="shared" si="28"/>
        <v>2601</v>
      </c>
      <c r="D291">
        <f t="shared" si="29"/>
        <v>23001</v>
      </c>
      <c r="E291">
        <f t="shared" si="30"/>
        <v>740.64829300000008</v>
      </c>
      <c r="F291">
        <f t="shared" si="31"/>
        <v>-289.64829300000008</v>
      </c>
      <c r="G291">
        <f t="shared" si="32"/>
        <v>83896.133637813895</v>
      </c>
      <c r="H291">
        <f t="shared" si="33"/>
        <v>-435.16039999999998</v>
      </c>
      <c r="I291">
        <f t="shared" si="34"/>
        <v>189364.57372815997</v>
      </c>
    </row>
    <row r="292" spans="1:9" x14ac:dyDescent="0.3">
      <c r="A292">
        <v>238</v>
      </c>
      <c r="B292">
        <v>892</v>
      </c>
      <c r="C292">
        <f t="shared" si="28"/>
        <v>56644</v>
      </c>
      <c r="D292">
        <f t="shared" si="29"/>
        <v>212296</v>
      </c>
      <c r="E292">
        <f t="shared" si="30"/>
        <v>805.97543400000006</v>
      </c>
      <c r="F292">
        <f t="shared" si="31"/>
        <v>86.024565999999936</v>
      </c>
      <c r="G292">
        <f t="shared" si="32"/>
        <v>7400.2259554883449</v>
      </c>
      <c r="H292">
        <f t="shared" si="33"/>
        <v>5.8396000000000186</v>
      </c>
      <c r="I292">
        <f t="shared" si="34"/>
        <v>34.100928160000215</v>
      </c>
    </row>
    <row r="293" spans="1:9" x14ac:dyDescent="0.3">
      <c r="A293">
        <v>111</v>
      </c>
      <c r="B293">
        <v>738</v>
      </c>
      <c r="C293">
        <f t="shared" si="28"/>
        <v>12321</v>
      </c>
      <c r="D293">
        <f t="shared" si="29"/>
        <v>81918</v>
      </c>
      <c r="E293">
        <f t="shared" si="30"/>
        <v>761.60887300000002</v>
      </c>
      <c r="F293">
        <f t="shared" si="31"/>
        <v>-23.608873000000017</v>
      </c>
      <c r="G293">
        <f t="shared" si="32"/>
        <v>557.37888433012984</v>
      </c>
      <c r="H293">
        <f t="shared" si="33"/>
        <v>-148.16039999999998</v>
      </c>
      <c r="I293">
        <f t="shared" si="34"/>
        <v>21951.504128159995</v>
      </c>
    </row>
    <row r="294" spans="1:9" x14ac:dyDescent="0.3">
      <c r="A294">
        <v>1877</v>
      </c>
      <c r="B294">
        <v>1039</v>
      </c>
      <c r="C294">
        <f t="shared" si="28"/>
        <v>3523129</v>
      </c>
      <c r="D294">
        <f t="shared" si="29"/>
        <v>1950203</v>
      </c>
      <c r="E294">
        <f t="shared" si="30"/>
        <v>1378.5486110000002</v>
      </c>
      <c r="F294">
        <f t="shared" si="31"/>
        <v>-339.54861100000016</v>
      </c>
      <c r="G294">
        <f t="shared" si="32"/>
        <v>115293.25923202944</v>
      </c>
      <c r="H294">
        <f t="shared" si="33"/>
        <v>152.83960000000002</v>
      </c>
      <c r="I294">
        <f t="shared" si="34"/>
        <v>23359.943328160007</v>
      </c>
    </row>
    <row r="295" spans="1:9" x14ac:dyDescent="0.3">
      <c r="A295">
        <v>649</v>
      </c>
      <c r="B295">
        <v>1105</v>
      </c>
      <c r="C295">
        <f t="shared" si="28"/>
        <v>421201</v>
      </c>
      <c r="D295">
        <f t="shared" si="29"/>
        <v>717145</v>
      </c>
      <c r="E295">
        <f t="shared" si="30"/>
        <v>949.55540700000006</v>
      </c>
      <c r="F295">
        <f t="shared" si="31"/>
        <v>155.44459299999994</v>
      </c>
      <c r="G295">
        <f t="shared" si="32"/>
        <v>24163.02149293563</v>
      </c>
      <c r="H295">
        <f t="shared" si="33"/>
        <v>218.83960000000002</v>
      </c>
      <c r="I295">
        <f t="shared" si="34"/>
        <v>47890.770528160007</v>
      </c>
    </row>
    <row r="296" spans="1:9" x14ac:dyDescent="0.3">
      <c r="A296">
        <v>559</v>
      </c>
      <c r="B296">
        <v>1286</v>
      </c>
      <c r="C296">
        <f t="shared" si="28"/>
        <v>312481</v>
      </c>
      <c r="D296">
        <f t="shared" si="29"/>
        <v>718874</v>
      </c>
      <c r="E296">
        <f t="shared" si="30"/>
        <v>918.11453700000004</v>
      </c>
      <c r="F296">
        <f t="shared" si="31"/>
        <v>367.88546299999996</v>
      </c>
      <c r="G296">
        <f t="shared" si="32"/>
        <v>135339.71388672435</v>
      </c>
      <c r="H296">
        <f t="shared" si="33"/>
        <v>399.83960000000002</v>
      </c>
      <c r="I296">
        <f t="shared" si="34"/>
        <v>159871.70572816001</v>
      </c>
    </row>
    <row r="297" spans="1:9" x14ac:dyDescent="0.3">
      <c r="A297">
        <v>351</v>
      </c>
      <c r="B297">
        <v>854</v>
      </c>
      <c r="C297">
        <f t="shared" si="28"/>
        <v>123201</v>
      </c>
      <c r="D297">
        <f t="shared" si="29"/>
        <v>299754</v>
      </c>
      <c r="E297">
        <f t="shared" si="30"/>
        <v>845.4511930000001</v>
      </c>
      <c r="F297">
        <f t="shared" si="31"/>
        <v>8.548806999999897</v>
      </c>
      <c r="G297">
        <f t="shared" si="32"/>
        <v>73.082101123247242</v>
      </c>
      <c r="H297">
        <f t="shared" si="33"/>
        <v>-32.160399999999981</v>
      </c>
      <c r="I297">
        <f t="shared" si="34"/>
        <v>1034.2913281599988</v>
      </c>
    </row>
    <row r="298" spans="1:9" x14ac:dyDescent="0.3">
      <c r="A298">
        <v>895</v>
      </c>
      <c r="B298">
        <v>1017</v>
      </c>
      <c r="C298">
        <f t="shared" si="28"/>
        <v>801025</v>
      </c>
      <c r="D298">
        <f t="shared" si="29"/>
        <v>910215</v>
      </c>
      <c r="E298">
        <f t="shared" si="30"/>
        <v>1035.4937850000001</v>
      </c>
      <c r="F298">
        <f t="shared" si="31"/>
        <v>-18.493785000000116</v>
      </c>
      <c r="G298">
        <f t="shared" si="32"/>
        <v>342.02008362622928</v>
      </c>
      <c r="H298">
        <f t="shared" si="33"/>
        <v>130.83960000000002</v>
      </c>
      <c r="I298">
        <f t="shared" si="34"/>
        <v>17119.000928160003</v>
      </c>
    </row>
    <row r="299" spans="1:9" x14ac:dyDescent="0.3">
      <c r="A299">
        <v>71</v>
      </c>
      <c r="B299">
        <v>558</v>
      </c>
      <c r="C299">
        <f t="shared" si="28"/>
        <v>5041</v>
      </c>
      <c r="D299">
        <f t="shared" si="29"/>
        <v>39618</v>
      </c>
      <c r="E299">
        <f t="shared" si="30"/>
        <v>747.63515300000006</v>
      </c>
      <c r="F299">
        <f t="shared" si="31"/>
        <v>-189.63515300000006</v>
      </c>
      <c r="G299">
        <f t="shared" si="32"/>
        <v>35961.491253333428</v>
      </c>
      <c r="H299">
        <f t="shared" si="33"/>
        <v>-328.16039999999998</v>
      </c>
      <c r="I299">
        <f t="shared" si="34"/>
        <v>107689.24812815999</v>
      </c>
    </row>
    <row r="300" spans="1:9" x14ac:dyDescent="0.3">
      <c r="A300">
        <v>2401</v>
      </c>
      <c r="B300">
        <v>1460</v>
      </c>
      <c r="C300">
        <f t="shared" si="28"/>
        <v>5764801</v>
      </c>
      <c r="D300">
        <f t="shared" si="29"/>
        <v>3505460</v>
      </c>
      <c r="E300">
        <f t="shared" si="30"/>
        <v>1561.604343</v>
      </c>
      <c r="F300">
        <f t="shared" si="31"/>
        <v>-101.60434299999997</v>
      </c>
      <c r="G300">
        <f t="shared" si="32"/>
        <v>10323.442516461644</v>
      </c>
      <c r="H300">
        <f t="shared" si="33"/>
        <v>573.83960000000002</v>
      </c>
      <c r="I300">
        <f t="shared" si="34"/>
        <v>329291.88652816002</v>
      </c>
    </row>
    <row r="301" spans="1:9" x14ac:dyDescent="0.3">
      <c r="A301">
        <v>71</v>
      </c>
      <c r="B301">
        <v>832</v>
      </c>
      <c r="C301">
        <f t="shared" si="28"/>
        <v>5041</v>
      </c>
      <c r="D301">
        <f t="shared" si="29"/>
        <v>59072</v>
      </c>
      <c r="E301">
        <f t="shared" si="30"/>
        <v>747.63515300000006</v>
      </c>
      <c r="F301">
        <f t="shared" si="31"/>
        <v>84.364846999999941</v>
      </c>
      <c r="G301">
        <f t="shared" si="32"/>
        <v>7117.4274093333988</v>
      </c>
      <c r="H301">
        <f t="shared" si="33"/>
        <v>-54.160399999999981</v>
      </c>
      <c r="I301">
        <f t="shared" si="34"/>
        <v>2933.3489281599982</v>
      </c>
    </row>
    <row r="302" spans="1:9" x14ac:dyDescent="0.3">
      <c r="A302">
        <v>68</v>
      </c>
      <c r="B302">
        <v>1055</v>
      </c>
      <c r="C302">
        <f t="shared" si="28"/>
        <v>4624</v>
      </c>
      <c r="D302">
        <f t="shared" si="29"/>
        <v>71740</v>
      </c>
      <c r="E302">
        <f t="shared" si="30"/>
        <v>746.58712400000002</v>
      </c>
      <c r="F302">
        <f t="shared" si="31"/>
        <v>308.41287599999998</v>
      </c>
      <c r="G302">
        <f t="shared" si="32"/>
        <v>95118.502082591367</v>
      </c>
      <c r="H302">
        <f t="shared" si="33"/>
        <v>168.83960000000002</v>
      </c>
      <c r="I302">
        <f t="shared" si="34"/>
        <v>28506.810528160007</v>
      </c>
    </row>
    <row r="303" spans="1:9" x14ac:dyDescent="0.3">
      <c r="A303">
        <v>75</v>
      </c>
      <c r="B303">
        <v>269</v>
      </c>
      <c r="C303">
        <f t="shared" si="28"/>
        <v>5625</v>
      </c>
      <c r="D303">
        <f t="shared" si="29"/>
        <v>20175</v>
      </c>
      <c r="E303">
        <f t="shared" si="30"/>
        <v>749.03252500000008</v>
      </c>
      <c r="F303">
        <f t="shared" si="31"/>
        <v>-480.03252500000008</v>
      </c>
      <c r="G303">
        <f t="shared" si="32"/>
        <v>230431.22505787571</v>
      </c>
      <c r="H303">
        <f t="shared" si="33"/>
        <v>-617.16039999999998</v>
      </c>
      <c r="I303">
        <f t="shared" si="34"/>
        <v>380886.95932815998</v>
      </c>
    </row>
    <row r="304" spans="1:9" x14ac:dyDescent="0.3">
      <c r="A304">
        <v>203</v>
      </c>
      <c r="B304">
        <v>1261</v>
      </c>
      <c r="C304">
        <f t="shared" si="28"/>
        <v>41209</v>
      </c>
      <c r="D304">
        <f t="shared" si="29"/>
        <v>255983</v>
      </c>
      <c r="E304">
        <f t="shared" si="30"/>
        <v>793.74842899999999</v>
      </c>
      <c r="F304">
        <f t="shared" si="31"/>
        <v>467.25157100000001</v>
      </c>
      <c r="G304">
        <f t="shared" si="32"/>
        <v>218324.03060196806</v>
      </c>
      <c r="H304">
        <f t="shared" si="33"/>
        <v>374.83960000000002</v>
      </c>
      <c r="I304">
        <f t="shared" si="34"/>
        <v>140504.72572816</v>
      </c>
    </row>
    <row r="305" spans="1:9" x14ac:dyDescent="0.3">
      <c r="A305">
        <v>272</v>
      </c>
      <c r="B305">
        <v>725</v>
      </c>
      <c r="C305">
        <f t="shared" si="28"/>
        <v>73984</v>
      </c>
      <c r="D305">
        <f t="shared" si="29"/>
        <v>197200</v>
      </c>
      <c r="E305">
        <f t="shared" si="30"/>
        <v>817.85309600000005</v>
      </c>
      <c r="F305">
        <f t="shared" si="31"/>
        <v>-92.85309600000005</v>
      </c>
      <c r="G305">
        <f t="shared" si="32"/>
        <v>8621.6974367852254</v>
      </c>
      <c r="H305">
        <f t="shared" si="33"/>
        <v>-161.16039999999998</v>
      </c>
      <c r="I305">
        <f t="shared" si="34"/>
        <v>25972.674528159994</v>
      </c>
    </row>
    <row r="306" spans="1:9" x14ac:dyDescent="0.3">
      <c r="A306">
        <v>89</v>
      </c>
      <c r="B306">
        <v>390</v>
      </c>
      <c r="C306">
        <f t="shared" si="28"/>
        <v>7921</v>
      </c>
      <c r="D306">
        <f t="shared" si="29"/>
        <v>34710</v>
      </c>
      <c r="E306">
        <f t="shared" si="30"/>
        <v>753.92332700000009</v>
      </c>
      <c r="F306">
        <f t="shared" si="31"/>
        <v>-363.92332700000009</v>
      </c>
      <c r="G306">
        <f t="shared" si="32"/>
        <v>132440.187934749</v>
      </c>
      <c r="H306">
        <f t="shared" si="33"/>
        <v>-496.16039999999998</v>
      </c>
      <c r="I306">
        <f t="shared" si="34"/>
        <v>246175.14252815998</v>
      </c>
    </row>
    <row r="307" spans="1:9" x14ac:dyDescent="0.3">
      <c r="A307">
        <v>482</v>
      </c>
      <c r="B307">
        <v>667</v>
      </c>
      <c r="C307">
        <f t="shared" si="28"/>
        <v>232324</v>
      </c>
      <c r="D307">
        <f t="shared" si="29"/>
        <v>321494</v>
      </c>
      <c r="E307">
        <f t="shared" si="30"/>
        <v>891.21512600000005</v>
      </c>
      <c r="F307">
        <f t="shared" si="31"/>
        <v>-224.21512600000005</v>
      </c>
      <c r="G307">
        <f t="shared" si="32"/>
        <v>50272.422727195903</v>
      </c>
      <c r="H307">
        <f t="shared" si="33"/>
        <v>-219.16039999999998</v>
      </c>
      <c r="I307">
        <f t="shared" si="34"/>
        <v>48031.280928159991</v>
      </c>
    </row>
    <row r="308" spans="1:9" x14ac:dyDescent="0.3">
      <c r="A308">
        <v>247</v>
      </c>
      <c r="B308">
        <v>624</v>
      </c>
      <c r="C308">
        <f t="shared" si="28"/>
        <v>61009</v>
      </c>
      <c r="D308">
        <f t="shared" si="29"/>
        <v>154128</v>
      </c>
      <c r="E308">
        <f t="shared" si="30"/>
        <v>809.11952100000008</v>
      </c>
      <c r="F308">
        <f t="shared" si="31"/>
        <v>-185.11952100000008</v>
      </c>
      <c r="G308">
        <f t="shared" si="32"/>
        <v>34269.23705526947</v>
      </c>
      <c r="H308">
        <f t="shared" si="33"/>
        <v>-262.16039999999998</v>
      </c>
      <c r="I308">
        <f t="shared" si="34"/>
        <v>68728.07532815999</v>
      </c>
    </row>
    <row r="309" spans="1:9" x14ac:dyDescent="0.3">
      <c r="A309">
        <v>1034</v>
      </c>
      <c r="B309">
        <v>987</v>
      </c>
      <c r="C309">
        <f t="shared" si="28"/>
        <v>1069156</v>
      </c>
      <c r="D309">
        <f t="shared" si="29"/>
        <v>1020558</v>
      </c>
      <c r="E309">
        <f t="shared" si="30"/>
        <v>1084.0524620000001</v>
      </c>
      <c r="F309">
        <f t="shared" si="31"/>
        <v>-97.052462000000105</v>
      </c>
      <c r="G309">
        <f t="shared" si="32"/>
        <v>9419.180380261465</v>
      </c>
      <c r="H309">
        <f t="shared" si="33"/>
        <v>100.83960000000002</v>
      </c>
      <c r="I309">
        <f t="shared" si="34"/>
        <v>10168.624928160003</v>
      </c>
    </row>
    <row r="310" spans="1:9" x14ac:dyDescent="0.3">
      <c r="A310">
        <v>15</v>
      </c>
      <c r="B310">
        <v>664</v>
      </c>
      <c r="C310">
        <f t="shared" si="28"/>
        <v>225</v>
      </c>
      <c r="D310">
        <f t="shared" si="29"/>
        <v>9960</v>
      </c>
      <c r="E310">
        <f t="shared" si="30"/>
        <v>728.07194500000003</v>
      </c>
      <c r="F310">
        <f t="shared" si="31"/>
        <v>-64.071945000000028</v>
      </c>
      <c r="G310">
        <f t="shared" si="32"/>
        <v>4105.2141360830283</v>
      </c>
      <c r="H310">
        <f t="shared" si="33"/>
        <v>-222.16039999999998</v>
      </c>
      <c r="I310">
        <f t="shared" si="34"/>
        <v>49355.243328159995</v>
      </c>
    </row>
    <row r="311" spans="1:9" x14ac:dyDescent="0.3">
      <c r="A311">
        <v>70</v>
      </c>
      <c r="B311">
        <v>535</v>
      </c>
      <c r="C311">
        <f t="shared" si="28"/>
        <v>4900</v>
      </c>
      <c r="D311">
        <f t="shared" si="29"/>
        <v>37450</v>
      </c>
      <c r="E311">
        <f t="shared" si="30"/>
        <v>747.28581000000008</v>
      </c>
      <c r="F311">
        <f t="shared" si="31"/>
        <v>-212.28581000000008</v>
      </c>
      <c r="G311">
        <f t="shared" si="32"/>
        <v>45065.265127356135</v>
      </c>
      <c r="H311">
        <f t="shared" si="33"/>
        <v>-351.16039999999998</v>
      </c>
      <c r="I311">
        <f t="shared" si="34"/>
        <v>123313.62652815999</v>
      </c>
    </row>
    <row r="312" spans="1:9" x14ac:dyDescent="0.3">
      <c r="A312">
        <v>84</v>
      </c>
      <c r="B312">
        <v>481</v>
      </c>
      <c r="C312">
        <f t="shared" si="28"/>
        <v>7056</v>
      </c>
      <c r="D312">
        <f t="shared" si="29"/>
        <v>40404</v>
      </c>
      <c r="E312">
        <f t="shared" si="30"/>
        <v>752.17661200000009</v>
      </c>
      <c r="F312">
        <f t="shared" si="31"/>
        <v>-271.17661200000009</v>
      </c>
      <c r="G312">
        <f t="shared" si="32"/>
        <v>73536.7548957986</v>
      </c>
      <c r="H312">
        <f t="shared" si="33"/>
        <v>-405.16039999999998</v>
      </c>
      <c r="I312">
        <f t="shared" si="34"/>
        <v>164154.94972815999</v>
      </c>
    </row>
    <row r="313" spans="1:9" x14ac:dyDescent="0.3">
      <c r="A313">
        <v>64</v>
      </c>
      <c r="B313">
        <v>856</v>
      </c>
      <c r="C313">
        <f t="shared" si="28"/>
        <v>4096</v>
      </c>
      <c r="D313">
        <f t="shared" si="29"/>
        <v>54784</v>
      </c>
      <c r="E313">
        <f t="shared" si="30"/>
        <v>745.189752</v>
      </c>
      <c r="F313">
        <f t="shared" si="31"/>
        <v>110.810248</v>
      </c>
      <c r="G313">
        <f t="shared" si="32"/>
        <v>12278.911061821504</v>
      </c>
      <c r="H313">
        <f t="shared" si="33"/>
        <v>-30.160399999999981</v>
      </c>
      <c r="I313">
        <f t="shared" si="34"/>
        <v>909.64972815999886</v>
      </c>
    </row>
    <row r="314" spans="1:9" x14ac:dyDescent="0.3">
      <c r="A314">
        <v>251</v>
      </c>
      <c r="B314">
        <v>835</v>
      </c>
      <c r="C314">
        <f t="shared" si="28"/>
        <v>63001</v>
      </c>
      <c r="D314">
        <f t="shared" si="29"/>
        <v>209585</v>
      </c>
      <c r="E314">
        <f t="shared" si="30"/>
        <v>810.5168930000001</v>
      </c>
      <c r="F314">
        <f t="shared" si="31"/>
        <v>24.483106999999904</v>
      </c>
      <c r="G314">
        <f t="shared" si="32"/>
        <v>599.42252837344438</v>
      </c>
      <c r="H314">
        <f t="shared" si="33"/>
        <v>-51.160399999999981</v>
      </c>
      <c r="I314">
        <f t="shared" si="34"/>
        <v>2617.3865281599983</v>
      </c>
    </row>
    <row r="315" spans="1:9" x14ac:dyDescent="0.3">
      <c r="A315">
        <v>122</v>
      </c>
      <c r="B315">
        <v>977</v>
      </c>
      <c r="C315">
        <f t="shared" si="28"/>
        <v>14884</v>
      </c>
      <c r="D315">
        <f t="shared" si="29"/>
        <v>119194</v>
      </c>
      <c r="E315">
        <f t="shared" si="30"/>
        <v>765.4516460000001</v>
      </c>
      <c r="F315">
        <f t="shared" si="31"/>
        <v>211.5483539999999</v>
      </c>
      <c r="G315">
        <f t="shared" si="32"/>
        <v>44752.706080109274</v>
      </c>
      <c r="H315">
        <f t="shared" si="33"/>
        <v>90.839600000000019</v>
      </c>
      <c r="I315">
        <f t="shared" si="34"/>
        <v>8251.8329281600036</v>
      </c>
    </row>
    <row r="316" spans="1:9" x14ac:dyDescent="0.3">
      <c r="A316">
        <v>92</v>
      </c>
      <c r="B316">
        <v>716</v>
      </c>
      <c r="C316">
        <f t="shared" si="28"/>
        <v>8464</v>
      </c>
      <c r="D316">
        <f t="shared" si="29"/>
        <v>65872</v>
      </c>
      <c r="E316">
        <f t="shared" si="30"/>
        <v>754.97135600000001</v>
      </c>
      <c r="F316">
        <f t="shared" si="31"/>
        <v>-38.971356000000014</v>
      </c>
      <c r="G316">
        <f t="shared" si="32"/>
        <v>1518.766588478737</v>
      </c>
      <c r="H316">
        <f t="shared" si="33"/>
        <v>-170.16039999999998</v>
      </c>
      <c r="I316">
        <f t="shared" si="34"/>
        <v>28954.561728159995</v>
      </c>
    </row>
    <row r="317" spans="1:9" x14ac:dyDescent="0.3">
      <c r="A317">
        <v>555</v>
      </c>
      <c r="B317">
        <v>1383</v>
      </c>
      <c r="C317">
        <f t="shared" si="28"/>
        <v>308025</v>
      </c>
      <c r="D317">
        <f t="shared" si="29"/>
        <v>767565</v>
      </c>
      <c r="E317">
        <f t="shared" si="30"/>
        <v>916.71716500000002</v>
      </c>
      <c r="F317">
        <f t="shared" si="31"/>
        <v>466.28283499999998</v>
      </c>
      <c r="G317">
        <f t="shared" si="32"/>
        <v>217419.68221563721</v>
      </c>
      <c r="H317">
        <f t="shared" si="33"/>
        <v>496.83960000000002</v>
      </c>
      <c r="I317">
        <f t="shared" si="34"/>
        <v>246849.58812816002</v>
      </c>
    </row>
    <row r="318" spans="1:9" x14ac:dyDescent="0.3">
      <c r="A318">
        <v>85</v>
      </c>
      <c r="B318">
        <v>972</v>
      </c>
      <c r="C318">
        <f t="shared" si="28"/>
        <v>7225</v>
      </c>
      <c r="D318">
        <f t="shared" si="29"/>
        <v>82620</v>
      </c>
      <c r="E318">
        <f t="shared" si="30"/>
        <v>752.52595500000007</v>
      </c>
      <c r="F318">
        <f t="shared" si="31"/>
        <v>219.47404499999993</v>
      </c>
      <c r="G318">
        <f t="shared" si="32"/>
        <v>48168.856428661995</v>
      </c>
      <c r="H318">
        <f t="shared" si="33"/>
        <v>85.839600000000019</v>
      </c>
      <c r="I318">
        <f t="shared" si="34"/>
        <v>7368.4369281600029</v>
      </c>
    </row>
    <row r="319" spans="1:9" x14ac:dyDescent="0.3">
      <c r="A319">
        <v>160</v>
      </c>
      <c r="B319">
        <v>710</v>
      </c>
      <c r="C319">
        <f t="shared" si="28"/>
        <v>25600</v>
      </c>
      <c r="D319">
        <f t="shared" si="29"/>
        <v>113600</v>
      </c>
      <c r="E319">
        <f t="shared" si="30"/>
        <v>778.72667999999999</v>
      </c>
      <c r="F319">
        <f t="shared" si="31"/>
        <v>-68.726679999999988</v>
      </c>
      <c r="G319">
        <f t="shared" si="32"/>
        <v>4723.3565438223986</v>
      </c>
      <c r="H319">
        <f t="shared" si="33"/>
        <v>-176.16039999999998</v>
      </c>
      <c r="I319">
        <f t="shared" si="34"/>
        <v>31032.486528159992</v>
      </c>
    </row>
    <row r="320" spans="1:9" x14ac:dyDescent="0.3">
      <c r="A320">
        <v>191</v>
      </c>
      <c r="B320">
        <v>352</v>
      </c>
      <c r="C320">
        <f t="shared" si="28"/>
        <v>36481</v>
      </c>
      <c r="D320">
        <f t="shared" si="29"/>
        <v>67232</v>
      </c>
      <c r="E320">
        <f t="shared" si="30"/>
        <v>789.55631300000005</v>
      </c>
      <c r="F320">
        <f t="shared" si="31"/>
        <v>-437.55631300000005</v>
      </c>
      <c r="G320">
        <f t="shared" si="32"/>
        <v>191455.52704615402</v>
      </c>
      <c r="H320">
        <f t="shared" si="33"/>
        <v>-534.16039999999998</v>
      </c>
      <c r="I320">
        <f t="shared" si="34"/>
        <v>285327.33292815997</v>
      </c>
    </row>
    <row r="321" spans="1:9" x14ac:dyDescent="0.3">
      <c r="A321">
        <v>2726</v>
      </c>
      <c r="B321">
        <v>1960</v>
      </c>
      <c r="C321">
        <f t="shared" si="28"/>
        <v>7431076</v>
      </c>
      <c r="D321">
        <f t="shared" si="29"/>
        <v>5342960</v>
      </c>
      <c r="E321">
        <f t="shared" si="30"/>
        <v>1675.1408180000001</v>
      </c>
      <c r="F321">
        <f t="shared" si="31"/>
        <v>284.85918199999992</v>
      </c>
      <c r="G321">
        <f t="shared" si="32"/>
        <v>81144.753569709079</v>
      </c>
      <c r="H321">
        <f t="shared" si="33"/>
        <v>1073.8396</v>
      </c>
      <c r="I321">
        <f t="shared" si="34"/>
        <v>1153131.4865281601</v>
      </c>
    </row>
    <row r="322" spans="1:9" x14ac:dyDescent="0.3">
      <c r="A322">
        <v>81</v>
      </c>
      <c r="B322">
        <v>233</v>
      </c>
      <c r="C322">
        <f t="shared" si="28"/>
        <v>6561</v>
      </c>
      <c r="D322">
        <f t="shared" si="29"/>
        <v>18873</v>
      </c>
      <c r="E322">
        <f t="shared" si="30"/>
        <v>751.12858300000005</v>
      </c>
      <c r="F322">
        <f t="shared" si="31"/>
        <v>-518.12858300000005</v>
      </c>
      <c r="G322">
        <f t="shared" si="32"/>
        <v>268457.22852158797</v>
      </c>
      <c r="H322">
        <f t="shared" si="33"/>
        <v>-653.16039999999998</v>
      </c>
      <c r="I322">
        <f t="shared" si="34"/>
        <v>426618.50812815997</v>
      </c>
    </row>
    <row r="323" spans="1:9" x14ac:dyDescent="0.3">
      <c r="A323">
        <v>170</v>
      </c>
      <c r="B323">
        <v>1037</v>
      </c>
      <c r="C323">
        <f t="shared" ref="C323:C386" si="35">PRODUCT(A323,A323)</f>
        <v>28900</v>
      </c>
      <c r="D323">
        <f t="shared" ref="D323:D386" si="36">PRODUCT(A323,B323)</f>
        <v>176290</v>
      </c>
      <c r="E323">
        <f t="shared" ref="E323:E386" si="37">722.8318+PRODUCT(0.349343,A323)</f>
        <v>782.22011000000009</v>
      </c>
      <c r="F323">
        <f t="shared" ref="F323:F386" si="38">B323-E323</f>
        <v>254.77988999999991</v>
      </c>
      <c r="G323">
        <f t="shared" ref="G323:G386" si="39">PRODUCT(F323,F323)</f>
        <v>64912.792348412055</v>
      </c>
      <c r="H323">
        <f t="shared" ref="H323:H386" si="40">B323-886.1604</f>
        <v>150.83960000000002</v>
      </c>
      <c r="I323">
        <f t="shared" ref="I323:I386" si="41">PRODUCT(H323,H323)</f>
        <v>22752.584928160006</v>
      </c>
    </row>
    <row r="324" spans="1:9" x14ac:dyDescent="0.3">
      <c r="A324">
        <v>577</v>
      </c>
      <c r="B324">
        <v>1018</v>
      </c>
      <c r="C324">
        <f t="shared" si="35"/>
        <v>332929</v>
      </c>
      <c r="D324">
        <f t="shared" si="36"/>
        <v>587386</v>
      </c>
      <c r="E324">
        <f t="shared" si="37"/>
        <v>924.40271100000007</v>
      </c>
      <c r="F324">
        <f t="shared" si="38"/>
        <v>93.597288999999932</v>
      </c>
      <c r="G324">
        <f t="shared" si="39"/>
        <v>8760.4525081495085</v>
      </c>
      <c r="H324">
        <f t="shared" si="40"/>
        <v>131.83960000000002</v>
      </c>
      <c r="I324">
        <f t="shared" si="41"/>
        <v>17381.680128160006</v>
      </c>
    </row>
    <row r="325" spans="1:9" x14ac:dyDescent="0.3">
      <c r="A325">
        <v>653</v>
      </c>
      <c r="B325">
        <v>930</v>
      </c>
      <c r="C325">
        <f t="shared" si="35"/>
        <v>426409</v>
      </c>
      <c r="D325">
        <f t="shared" si="36"/>
        <v>607290</v>
      </c>
      <c r="E325">
        <f t="shared" si="37"/>
        <v>950.95277900000008</v>
      </c>
      <c r="F325">
        <f t="shared" si="38"/>
        <v>-20.952779000000078</v>
      </c>
      <c r="G325">
        <f t="shared" si="39"/>
        <v>439.01894782284427</v>
      </c>
      <c r="H325">
        <f t="shared" si="40"/>
        <v>43.839600000000019</v>
      </c>
      <c r="I325">
        <f t="shared" si="41"/>
        <v>1921.9105281600016</v>
      </c>
    </row>
    <row r="326" spans="1:9" x14ac:dyDescent="0.3">
      <c r="A326">
        <v>573</v>
      </c>
      <c r="B326">
        <v>1096</v>
      </c>
      <c r="C326">
        <f t="shared" si="35"/>
        <v>328329</v>
      </c>
      <c r="D326">
        <f t="shared" si="36"/>
        <v>628008</v>
      </c>
      <c r="E326">
        <f t="shared" si="37"/>
        <v>923.00533900000005</v>
      </c>
      <c r="F326">
        <f t="shared" si="38"/>
        <v>172.99466099999995</v>
      </c>
      <c r="G326">
        <f t="shared" si="39"/>
        <v>29927.152734504903</v>
      </c>
      <c r="H326">
        <f t="shared" si="40"/>
        <v>209.83960000000002</v>
      </c>
      <c r="I326">
        <f t="shared" si="41"/>
        <v>44032.657728160011</v>
      </c>
    </row>
    <row r="327" spans="1:9" x14ac:dyDescent="0.3">
      <c r="A327">
        <v>4475</v>
      </c>
      <c r="B327">
        <v>2288</v>
      </c>
      <c r="C327">
        <f t="shared" si="35"/>
        <v>20025625</v>
      </c>
      <c r="D327">
        <f t="shared" si="36"/>
        <v>10238800</v>
      </c>
      <c r="E327">
        <f t="shared" si="37"/>
        <v>2286.141725</v>
      </c>
      <c r="F327">
        <f t="shared" si="38"/>
        <v>1.8582750000000487</v>
      </c>
      <c r="G327">
        <f t="shared" si="39"/>
        <v>3.453185975625181</v>
      </c>
      <c r="H327">
        <f t="shared" si="40"/>
        <v>1401.8396</v>
      </c>
      <c r="I327">
        <f t="shared" si="41"/>
        <v>1965154.26412816</v>
      </c>
    </row>
    <row r="328" spans="1:9" x14ac:dyDescent="0.3">
      <c r="A328">
        <v>23</v>
      </c>
      <c r="B328">
        <v>360</v>
      </c>
      <c r="C328">
        <f t="shared" si="35"/>
        <v>529</v>
      </c>
      <c r="D328">
        <f t="shared" si="36"/>
        <v>8280</v>
      </c>
      <c r="E328">
        <f t="shared" si="37"/>
        <v>730.86668900000006</v>
      </c>
      <c r="F328">
        <f t="shared" si="38"/>
        <v>-370.86668900000006</v>
      </c>
      <c r="G328">
        <f t="shared" si="39"/>
        <v>137542.10100982277</v>
      </c>
      <c r="H328">
        <f t="shared" si="40"/>
        <v>-526.16039999999998</v>
      </c>
      <c r="I328">
        <f t="shared" si="41"/>
        <v>276844.76652815996</v>
      </c>
    </row>
    <row r="329" spans="1:9" x14ac:dyDescent="0.3">
      <c r="A329">
        <v>1595</v>
      </c>
      <c r="B329">
        <v>1213</v>
      </c>
      <c r="C329">
        <f t="shared" si="35"/>
        <v>2544025</v>
      </c>
      <c r="D329">
        <f t="shared" si="36"/>
        <v>1934735</v>
      </c>
      <c r="E329">
        <f t="shared" si="37"/>
        <v>1280.0338850000001</v>
      </c>
      <c r="F329">
        <f t="shared" si="38"/>
        <v>-67.033885000000055</v>
      </c>
      <c r="G329">
        <f t="shared" si="39"/>
        <v>4493.541738193232</v>
      </c>
      <c r="H329">
        <f t="shared" si="40"/>
        <v>326.83960000000002</v>
      </c>
      <c r="I329">
        <f t="shared" si="41"/>
        <v>106824.12412816001</v>
      </c>
    </row>
    <row r="330" spans="1:9" x14ac:dyDescent="0.3">
      <c r="A330">
        <v>3</v>
      </c>
      <c r="B330">
        <v>100</v>
      </c>
      <c r="C330">
        <f t="shared" si="35"/>
        <v>9</v>
      </c>
      <c r="D330">
        <f t="shared" si="36"/>
        <v>300</v>
      </c>
      <c r="E330">
        <f t="shared" si="37"/>
        <v>723.87982900000009</v>
      </c>
      <c r="F330">
        <f t="shared" si="38"/>
        <v>-623.87982900000009</v>
      </c>
      <c r="G330">
        <f t="shared" si="39"/>
        <v>389226.04103306937</v>
      </c>
      <c r="H330">
        <f t="shared" si="40"/>
        <v>-786.16039999999998</v>
      </c>
      <c r="I330">
        <f t="shared" si="41"/>
        <v>618048.17452816002</v>
      </c>
    </row>
    <row r="331" spans="1:9" x14ac:dyDescent="0.3">
      <c r="A331">
        <v>18</v>
      </c>
      <c r="B331">
        <v>584</v>
      </c>
      <c r="C331">
        <f t="shared" si="35"/>
        <v>324</v>
      </c>
      <c r="D331">
        <f t="shared" si="36"/>
        <v>10512</v>
      </c>
      <c r="E331">
        <f t="shared" si="37"/>
        <v>729.11997400000007</v>
      </c>
      <c r="F331">
        <f t="shared" si="38"/>
        <v>-145.11997400000007</v>
      </c>
      <c r="G331">
        <f t="shared" si="39"/>
        <v>21059.806853760696</v>
      </c>
      <c r="H331">
        <f t="shared" si="40"/>
        <v>-302.16039999999998</v>
      </c>
      <c r="I331">
        <f t="shared" si="41"/>
        <v>91300.907328159985</v>
      </c>
    </row>
    <row r="332" spans="1:9" x14ac:dyDescent="0.3">
      <c r="A332">
        <v>198</v>
      </c>
      <c r="B332">
        <v>1144</v>
      </c>
      <c r="C332">
        <f t="shared" si="35"/>
        <v>39204</v>
      </c>
      <c r="D332">
        <f t="shared" si="36"/>
        <v>226512</v>
      </c>
      <c r="E332">
        <f t="shared" si="37"/>
        <v>792.00171399999999</v>
      </c>
      <c r="F332">
        <f t="shared" si="38"/>
        <v>351.99828600000001</v>
      </c>
      <c r="G332">
        <f t="shared" si="39"/>
        <v>123902.7933469378</v>
      </c>
      <c r="H332">
        <f t="shared" si="40"/>
        <v>257.83960000000002</v>
      </c>
      <c r="I332">
        <f t="shared" si="41"/>
        <v>66481.259328160013</v>
      </c>
    </row>
    <row r="333" spans="1:9" x14ac:dyDescent="0.3">
      <c r="A333">
        <v>694</v>
      </c>
      <c r="B333">
        <v>1126</v>
      </c>
      <c r="C333">
        <f t="shared" si="35"/>
        <v>481636</v>
      </c>
      <c r="D333">
        <f t="shared" si="36"/>
        <v>781444</v>
      </c>
      <c r="E333">
        <f t="shared" si="37"/>
        <v>965.27584200000001</v>
      </c>
      <c r="F333">
        <f t="shared" si="38"/>
        <v>160.72415799999999</v>
      </c>
      <c r="G333">
        <f t="shared" si="39"/>
        <v>25832.254964808959</v>
      </c>
      <c r="H333">
        <f t="shared" si="40"/>
        <v>239.83960000000002</v>
      </c>
      <c r="I333">
        <f t="shared" si="41"/>
        <v>57523.033728160008</v>
      </c>
    </row>
    <row r="334" spans="1:9" x14ac:dyDescent="0.3">
      <c r="A334">
        <v>374</v>
      </c>
      <c r="B334">
        <v>1500</v>
      </c>
      <c r="C334">
        <f t="shared" si="35"/>
        <v>139876</v>
      </c>
      <c r="D334">
        <f t="shared" si="36"/>
        <v>561000</v>
      </c>
      <c r="E334">
        <f t="shared" si="37"/>
        <v>853.48608200000001</v>
      </c>
      <c r="F334">
        <f t="shared" si="38"/>
        <v>646.51391799999999</v>
      </c>
      <c r="G334">
        <f t="shared" si="39"/>
        <v>417980.24616771069</v>
      </c>
      <c r="H334">
        <f t="shared" si="40"/>
        <v>613.83960000000002</v>
      </c>
      <c r="I334">
        <f t="shared" si="41"/>
        <v>376799.05452816002</v>
      </c>
    </row>
    <row r="335" spans="1:9" x14ac:dyDescent="0.3">
      <c r="A335">
        <v>316</v>
      </c>
      <c r="B335">
        <v>766</v>
      </c>
      <c r="C335">
        <f t="shared" si="35"/>
        <v>99856</v>
      </c>
      <c r="D335">
        <f t="shared" si="36"/>
        <v>242056</v>
      </c>
      <c r="E335">
        <f t="shared" si="37"/>
        <v>833.22418800000003</v>
      </c>
      <c r="F335">
        <f t="shared" si="38"/>
        <v>-67.224188000000026</v>
      </c>
      <c r="G335">
        <f t="shared" si="39"/>
        <v>4519.0914522593475</v>
      </c>
      <c r="H335">
        <f t="shared" si="40"/>
        <v>-120.16039999999998</v>
      </c>
      <c r="I335">
        <f t="shared" si="41"/>
        <v>14438.521728159996</v>
      </c>
    </row>
    <row r="336" spans="1:9" x14ac:dyDescent="0.3">
      <c r="A336">
        <v>50</v>
      </c>
      <c r="B336">
        <v>635</v>
      </c>
      <c r="C336">
        <f t="shared" si="35"/>
        <v>2500</v>
      </c>
      <c r="D336">
        <f t="shared" si="36"/>
        <v>31750</v>
      </c>
      <c r="E336">
        <f t="shared" si="37"/>
        <v>740.29894999999999</v>
      </c>
      <c r="F336">
        <f t="shared" si="38"/>
        <v>-105.29894999999999</v>
      </c>
      <c r="G336">
        <f t="shared" si="39"/>
        <v>11087.868871102499</v>
      </c>
      <c r="H336">
        <f t="shared" si="40"/>
        <v>-251.16039999999998</v>
      </c>
      <c r="I336">
        <f t="shared" si="41"/>
        <v>63081.54652815999</v>
      </c>
    </row>
    <row r="337" spans="1:9" x14ac:dyDescent="0.3">
      <c r="A337">
        <v>1805</v>
      </c>
      <c r="B337">
        <v>1095</v>
      </c>
      <c r="C337">
        <f t="shared" si="35"/>
        <v>3258025</v>
      </c>
      <c r="D337">
        <f t="shared" si="36"/>
        <v>1976475</v>
      </c>
      <c r="E337">
        <f t="shared" si="37"/>
        <v>1353.3959150000001</v>
      </c>
      <c r="F337">
        <f t="shared" si="38"/>
        <v>-258.39591500000006</v>
      </c>
      <c r="G337">
        <f t="shared" si="39"/>
        <v>66768.448888687257</v>
      </c>
      <c r="H337">
        <f t="shared" si="40"/>
        <v>208.83960000000002</v>
      </c>
      <c r="I337">
        <f t="shared" si="41"/>
        <v>43613.978528160005</v>
      </c>
    </row>
    <row r="338" spans="1:9" x14ac:dyDescent="0.3">
      <c r="A338">
        <v>330</v>
      </c>
      <c r="B338">
        <v>1178</v>
      </c>
      <c r="C338">
        <f t="shared" si="35"/>
        <v>108900</v>
      </c>
      <c r="D338">
        <f t="shared" si="36"/>
        <v>388740</v>
      </c>
      <c r="E338">
        <f t="shared" si="37"/>
        <v>838.11499000000003</v>
      </c>
      <c r="F338">
        <f t="shared" si="38"/>
        <v>339.88500999999997</v>
      </c>
      <c r="G338">
        <f t="shared" si="39"/>
        <v>115521.82002270008</v>
      </c>
      <c r="H338">
        <f t="shared" si="40"/>
        <v>291.83960000000002</v>
      </c>
      <c r="I338">
        <f t="shared" si="41"/>
        <v>85170.352128160011</v>
      </c>
    </row>
    <row r="339" spans="1:9" x14ac:dyDescent="0.3">
      <c r="A339">
        <v>108</v>
      </c>
      <c r="B339">
        <v>411</v>
      </c>
      <c r="C339">
        <f t="shared" si="35"/>
        <v>11664</v>
      </c>
      <c r="D339">
        <f t="shared" si="36"/>
        <v>44388</v>
      </c>
      <c r="E339">
        <f t="shared" si="37"/>
        <v>760.56084400000009</v>
      </c>
      <c r="F339">
        <f t="shared" si="38"/>
        <v>-349.56084400000009</v>
      </c>
      <c r="G339">
        <f t="shared" si="39"/>
        <v>122192.7836579924</v>
      </c>
      <c r="H339">
        <f t="shared" si="40"/>
        <v>-475.16039999999998</v>
      </c>
      <c r="I339">
        <f t="shared" si="41"/>
        <v>225777.40572816</v>
      </c>
    </row>
    <row r="340" spans="1:9" x14ac:dyDescent="0.3">
      <c r="A340">
        <v>743</v>
      </c>
      <c r="B340">
        <v>1039</v>
      </c>
      <c r="C340">
        <f t="shared" si="35"/>
        <v>552049</v>
      </c>
      <c r="D340">
        <f t="shared" si="36"/>
        <v>771977</v>
      </c>
      <c r="E340">
        <f t="shared" si="37"/>
        <v>982.3936490000001</v>
      </c>
      <c r="F340">
        <f t="shared" si="38"/>
        <v>56.606350999999904</v>
      </c>
      <c r="G340">
        <f t="shared" si="39"/>
        <v>3204.2789735351903</v>
      </c>
      <c r="H340">
        <f t="shared" si="40"/>
        <v>152.83960000000002</v>
      </c>
      <c r="I340">
        <f t="shared" si="41"/>
        <v>23359.943328160007</v>
      </c>
    </row>
    <row r="341" spans="1:9" x14ac:dyDescent="0.3">
      <c r="A341">
        <v>68</v>
      </c>
      <c r="B341">
        <v>286</v>
      </c>
      <c r="C341">
        <f t="shared" si="35"/>
        <v>4624</v>
      </c>
      <c r="D341">
        <f t="shared" si="36"/>
        <v>19448</v>
      </c>
      <c r="E341">
        <f t="shared" si="37"/>
        <v>746.58712400000002</v>
      </c>
      <c r="F341">
        <f t="shared" si="38"/>
        <v>-460.58712400000002</v>
      </c>
      <c r="G341">
        <f t="shared" si="39"/>
        <v>212140.4987945914</v>
      </c>
      <c r="H341">
        <f t="shared" si="40"/>
        <v>-600.16039999999998</v>
      </c>
      <c r="I341">
        <f t="shared" si="41"/>
        <v>360192.50572815997</v>
      </c>
    </row>
    <row r="342" spans="1:9" x14ac:dyDescent="0.3">
      <c r="A342">
        <v>361</v>
      </c>
      <c r="B342">
        <v>1644</v>
      </c>
      <c r="C342">
        <f t="shared" si="35"/>
        <v>130321</v>
      </c>
      <c r="D342">
        <f t="shared" si="36"/>
        <v>593484</v>
      </c>
      <c r="E342">
        <f t="shared" si="37"/>
        <v>848.94462300000009</v>
      </c>
      <c r="F342">
        <f t="shared" si="38"/>
        <v>795.05537699999991</v>
      </c>
      <c r="G342">
        <f t="shared" si="39"/>
        <v>632113.05249661196</v>
      </c>
      <c r="H342">
        <f t="shared" si="40"/>
        <v>757.83960000000002</v>
      </c>
      <c r="I342">
        <f t="shared" si="41"/>
        <v>574320.85932816006</v>
      </c>
    </row>
    <row r="343" spans="1:9" x14ac:dyDescent="0.3">
      <c r="A343">
        <v>233</v>
      </c>
      <c r="B343">
        <v>291</v>
      </c>
      <c r="C343">
        <f t="shared" si="35"/>
        <v>54289</v>
      </c>
      <c r="D343">
        <f t="shared" si="36"/>
        <v>67803</v>
      </c>
      <c r="E343">
        <f t="shared" si="37"/>
        <v>804.22871900000007</v>
      </c>
      <c r="F343">
        <f t="shared" si="38"/>
        <v>-513.22871900000007</v>
      </c>
      <c r="G343">
        <f t="shared" si="39"/>
        <v>263403.71800638101</v>
      </c>
      <c r="H343">
        <f t="shared" si="40"/>
        <v>-595.16039999999998</v>
      </c>
      <c r="I343">
        <f t="shared" si="41"/>
        <v>354215.90172815998</v>
      </c>
    </row>
    <row r="344" spans="1:9" x14ac:dyDescent="0.3">
      <c r="A344">
        <v>833</v>
      </c>
      <c r="B344">
        <v>735</v>
      </c>
      <c r="C344">
        <f t="shared" si="35"/>
        <v>693889</v>
      </c>
      <c r="D344">
        <f t="shared" si="36"/>
        <v>612255</v>
      </c>
      <c r="E344">
        <f t="shared" si="37"/>
        <v>1013.834519</v>
      </c>
      <c r="F344">
        <f t="shared" si="38"/>
        <v>-278.834519</v>
      </c>
      <c r="G344">
        <f t="shared" si="39"/>
        <v>77748.688985961358</v>
      </c>
      <c r="H344">
        <f t="shared" si="40"/>
        <v>-151.16039999999998</v>
      </c>
      <c r="I344">
        <f t="shared" si="41"/>
        <v>22849.466528159996</v>
      </c>
    </row>
    <row r="345" spans="1:9" x14ac:dyDescent="0.3">
      <c r="A345">
        <v>707</v>
      </c>
      <c r="B345">
        <v>521</v>
      </c>
      <c r="C345">
        <f t="shared" si="35"/>
        <v>499849</v>
      </c>
      <c r="D345">
        <f t="shared" si="36"/>
        <v>368347</v>
      </c>
      <c r="E345">
        <f t="shared" si="37"/>
        <v>969.81730100000004</v>
      </c>
      <c r="F345">
        <f t="shared" si="38"/>
        <v>-448.81730100000004</v>
      </c>
      <c r="G345">
        <f t="shared" si="39"/>
        <v>201436.96967692464</v>
      </c>
      <c r="H345">
        <f t="shared" si="40"/>
        <v>-365.16039999999998</v>
      </c>
      <c r="I345">
        <f t="shared" si="41"/>
        <v>133342.11772816</v>
      </c>
    </row>
    <row r="346" spans="1:9" x14ac:dyDescent="0.3">
      <c r="A346">
        <v>618</v>
      </c>
      <c r="B346">
        <v>924</v>
      </c>
      <c r="C346">
        <f t="shared" si="35"/>
        <v>381924</v>
      </c>
      <c r="D346">
        <f t="shared" si="36"/>
        <v>571032</v>
      </c>
      <c r="E346">
        <f t="shared" si="37"/>
        <v>938.725774</v>
      </c>
      <c r="F346">
        <f t="shared" si="38"/>
        <v>-14.725774000000001</v>
      </c>
      <c r="G346">
        <f t="shared" si="39"/>
        <v>216.84841989907605</v>
      </c>
      <c r="H346">
        <f t="shared" si="40"/>
        <v>37.839600000000019</v>
      </c>
      <c r="I346">
        <f t="shared" si="41"/>
        <v>1431.8353281600014</v>
      </c>
    </row>
    <row r="347" spans="1:9" x14ac:dyDescent="0.3">
      <c r="A347">
        <v>2030</v>
      </c>
      <c r="B347">
        <v>1248</v>
      </c>
      <c r="C347">
        <f t="shared" si="35"/>
        <v>4120900</v>
      </c>
      <c r="D347">
        <f t="shared" si="36"/>
        <v>2533440</v>
      </c>
      <c r="E347">
        <f t="shared" si="37"/>
        <v>1431.99809</v>
      </c>
      <c r="F347">
        <f t="shared" si="38"/>
        <v>-183.99809000000005</v>
      </c>
      <c r="G347">
        <f t="shared" si="39"/>
        <v>33855.297123648117</v>
      </c>
      <c r="H347">
        <f t="shared" si="40"/>
        <v>361.83960000000002</v>
      </c>
      <c r="I347">
        <f t="shared" si="41"/>
        <v>130927.89612816002</v>
      </c>
    </row>
    <row r="348" spans="1:9" x14ac:dyDescent="0.3">
      <c r="A348">
        <v>191</v>
      </c>
      <c r="B348">
        <v>696</v>
      </c>
      <c r="C348">
        <f t="shared" si="35"/>
        <v>36481</v>
      </c>
      <c r="D348">
        <f t="shared" si="36"/>
        <v>132936</v>
      </c>
      <c r="E348">
        <f t="shared" si="37"/>
        <v>789.55631300000005</v>
      </c>
      <c r="F348">
        <f t="shared" si="38"/>
        <v>-93.556313000000046</v>
      </c>
      <c r="G348">
        <f t="shared" si="39"/>
        <v>8752.7837021539781</v>
      </c>
      <c r="H348">
        <f t="shared" si="40"/>
        <v>-190.16039999999998</v>
      </c>
      <c r="I348">
        <f t="shared" si="41"/>
        <v>36160.977728159996</v>
      </c>
    </row>
    <row r="349" spans="1:9" x14ac:dyDescent="0.3">
      <c r="A349">
        <v>80</v>
      </c>
      <c r="B349">
        <v>445</v>
      </c>
      <c r="C349">
        <f t="shared" si="35"/>
        <v>6400</v>
      </c>
      <c r="D349">
        <f t="shared" si="36"/>
        <v>35600</v>
      </c>
      <c r="E349">
        <f t="shared" si="37"/>
        <v>750.77924000000007</v>
      </c>
      <c r="F349">
        <f t="shared" si="38"/>
        <v>-305.77924000000007</v>
      </c>
      <c r="G349">
        <f t="shared" si="39"/>
        <v>93500.943614977645</v>
      </c>
      <c r="H349">
        <f t="shared" si="40"/>
        <v>-441.16039999999998</v>
      </c>
      <c r="I349">
        <f t="shared" si="41"/>
        <v>194622.49852815998</v>
      </c>
    </row>
    <row r="350" spans="1:9" x14ac:dyDescent="0.3">
      <c r="A350">
        <v>75</v>
      </c>
      <c r="B350">
        <v>717</v>
      </c>
      <c r="C350">
        <f t="shared" si="35"/>
        <v>5625</v>
      </c>
      <c r="D350">
        <f t="shared" si="36"/>
        <v>53775</v>
      </c>
      <c r="E350">
        <f t="shared" si="37"/>
        <v>749.03252500000008</v>
      </c>
      <c r="F350">
        <f t="shared" si="38"/>
        <v>-32.032525000000078</v>
      </c>
      <c r="G350">
        <f t="shared" si="39"/>
        <v>1026.08265787563</v>
      </c>
      <c r="H350">
        <f t="shared" si="40"/>
        <v>-169.16039999999998</v>
      </c>
      <c r="I350">
        <f t="shared" si="41"/>
        <v>28615.240928159994</v>
      </c>
    </row>
    <row r="351" spans="1:9" x14ac:dyDescent="0.3">
      <c r="A351">
        <v>163</v>
      </c>
      <c r="B351">
        <v>656</v>
      </c>
      <c r="C351">
        <f t="shared" si="35"/>
        <v>26569</v>
      </c>
      <c r="D351">
        <f t="shared" si="36"/>
        <v>106928</v>
      </c>
      <c r="E351">
        <f t="shared" si="37"/>
        <v>779.77470900000003</v>
      </c>
      <c r="F351">
        <f t="shared" si="38"/>
        <v>-123.77470900000003</v>
      </c>
      <c r="G351">
        <f t="shared" si="39"/>
        <v>15320.178588034689</v>
      </c>
      <c r="H351">
        <f t="shared" si="40"/>
        <v>-230.16039999999998</v>
      </c>
      <c r="I351">
        <f t="shared" si="41"/>
        <v>52973.809728159991</v>
      </c>
    </row>
    <row r="352" spans="1:9" x14ac:dyDescent="0.3">
      <c r="A352">
        <v>73</v>
      </c>
      <c r="B352">
        <v>1069</v>
      </c>
      <c r="C352">
        <f t="shared" si="35"/>
        <v>5329</v>
      </c>
      <c r="D352">
        <f t="shared" si="36"/>
        <v>78037</v>
      </c>
      <c r="E352">
        <f t="shared" si="37"/>
        <v>748.33383900000001</v>
      </c>
      <c r="F352">
        <f t="shared" si="38"/>
        <v>320.66616099999999</v>
      </c>
      <c r="G352">
        <f t="shared" si="39"/>
        <v>102826.78681047792</v>
      </c>
      <c r="H352">
        <f t="shared" si="40"/>
        <v>182.83960000000002</v>
      </c>
      <c r="I352">
        <f t="shared" si="41"/>
        <v>33430.319328160003</v>
      </c>
    </row>
    <row r="353" spans="1:9" x14ac:dyDescent="0.3">
      <c r="A353">
        <v>1186</v>
      </c>
      <c r="B353">
        <v>1492</v>
      </c>
      <c r="C353">
        <f t="shared" si="35"/>
        <v>1406596</v>
      </c>
      <c r="D353">
        <f t="shared" si="36"/>
        <v>1769512</v>
      </c>
      <c r="E353">
        <f t="shared" si="37"/>
        <v>1137.1525980000001</v>
      </c>
      <c r="F353">
        <f t="shared" si="38"/>
        <v>354.84740199999987</v>
      </c>
      <c r="G353">
        <f t="shared" si="39"/>
        <v>125916.67870614951</v>
      </c>
      <c r="H353">
        <f t="shared" si="40"/>
        <v>605.83960000000002</v>
      </c>
      <c r="I353">
        <f t="shared" si="41"/>
        <v>367041.62092816003</v>
      </c>
    </row>
    <row r="354" spans="1:9" x14ac:dyDescent="0.3">
      <c r="A354">
        <v>236</v>
      </c>
      <c r="B354">
        <v>737</v>
      </c>
      <c r="C354">
        <f t="shared" si="35"/>
        <v>55696</v>
      </c>
      <c r="D354">
        <f t="shared" si="36"/>
        <v>173932</v>
      </c>
      <c r="E354">
        <f t="shared" si="37"/>
        <v>805.276748</v>
      </c>
      <c r="F354">
        <f t="shared" si="38"/>
        <v>-68.276747999999998</v>
      </c>
      <c r="G354">
        <f t="shared" si="39"/>
        <v>4661.714317455504</v>
      </c>
      <c r="H354">
        <f t="shared" si="40"/>
        <v>-149.16039999999998</v>
      </c>
      <c r="I354">
        <f t="shared" si="41"/>
        <v>22248.824928159993</v>
      </c>
    </row>
    <row r="355" spans="1:9" x14ac:dyDescent="0.3">
      <c r="A355">
        <v>5263</v>
      </c>
      <c r="B355">
        <v>2019</v>
      </c>
      <c r="C355">
        <f t="shared" si="35"/>
        <v>27699169</v>
      </c>
      <c r="D355">
        <f t="shared" si="36"/>
        <v>10625997</v>
      </c>
      <c r="E355">
        <f t="shared" si="37"/>
        <v>2561.4240090000003</v>
      </c>
      <c r="F355">
        <f t="shared" si="38"/>
        <v>-542.4240090000003</v>
      </c>
      <c r="G355">
        <f t="shared" si="39"/>
        <v>294223.80553963239</v>
      </c>
      <c r="H355">
        <f t="shared" si="40"/>
        <v>1132.8396</v>
      </c>
      <c r="I355">
        <f t="shared" si="41"/>
        <v>1283325.55932816</v>
      </c>
    </row>
    <row r="356" spans="1:9" x14ac:dyDescent="0.3">
      <c r="A356">
        <v>583</v>
      </c>
      <c r="B356">
        <v>1348</v>
      </c>
      <c r="C356">
        <f t="shared" si="35"/>
        <v>339889</v>
      </c>
      <c r="D356">
        <f t="shared" si="36"/>
        <v>785884</v>
      </c>
      <c r="E356">
        <f t="shared" si="37"/>
        <v>926.49876900000004</v>
      </c>
      <c r="F356">
        <f t="shared" si="38"/>
        <v>421.50123099999996</v>
      </c>
      <c r="G356">
        <f t="shared" si="39"/>
        <v>177663.28773451532</v>
      </c>
      <c r="H356">
        <f t="shared" si="40"/>
        <v>461.83960000000002</v>
      </c>
      <c r="I356">
        <f t="shared" si="41"/>
        <v>213295.81612816002</v>
      </c>
    </row>
    <row r="357" spans="1:9" x14ac:dyDescent="0.3">
      <c r="A357">
        <v>326</v>
      </c>
      <c r="B357">
        <v>815</v>
      </c>
      <c r="C357">
        <f t="shared" si="35"/>
        <v>106276</v>
      </c>
      <c r="D357">
        <f t="shared" si="36"/>
        <v>265690</v>
      </c>
      <c r="E357">
        <f t="shared" si="37"/>
        <v>836.71761800000002</v>
      </c>
      <c r="F357">
        <f t="shared" si="38"/>
        <v>-21.717618000000016</v>
      </c>
      <c r="G357">
        <f t="shared" si="39"/>
        <v>471.65493159392469</v>
      </c>
      <c r="H357">
        <f t="shared" si="40"/>
        <v>-71.160399999999981</v>
      </c>
      <c r="I357">
        <f t="shared" si="41"/>
        <v>5063.8025281599976</v>
      </c>
    </row>
    <row r="358" spans="1:9" x14ac:dyDescent="0.3">
      <c r="A358">
        <v>382</v>
      </c>
      <c r="B358">
        <v>1042</v>
      </c>
      <c r="C358">
        <f t="shared" si="35"/>
        <v>145924</v>
      </c>
      <c r="D358">
        <f t="shared" si="36"/>
        <v>398044</v>
      </c>
      <c r="E358">
        <f t="shared" si="37"/>
        <v>856.28082600000005</v>
      </c>
      <c r="F358">
        <f t="shared" si="38"/>
        <v>185.71917399999995</v>
      </c>
      <c r="G358">
        <f t="shared" si="39"/>
        <v>34491.611591242261</v>
      </c>
      <c r="H358">
        <f t="shared" si="40"/>
        <v>155.83960000000002</v>
      </c>
      <c r="I358">
        <f t="shared" si="41"/>
        <v>24285.980928160006</v>
      </c>
    </row>
    <row r="359" spans="1:9" x14ac:dyDescent="0.3">
      <c r="A359">
        <v>3246</v>
      </c>
      <c r="B359">
        <v>1782</v>
      </c>
      <c r="C359">
        <f t="shared" si="35"/>
        <v>10536516</v>
      </c>
      <c r="D359">
        <f t="shared" si="36"/>
        <v>5784372</v>
      </c>
      <c r="E359">
        <f t="shared" si="37"/>
        <v>1856.7991780000002</v>
      </c>
      <c r="F359">
        <f t="shared" si="38"/>
        <v>-74.799178000000211</v>
      </c>
      <c r="G359">
        <f t="shared" si="39"/>
        <v>5594.9170294757159</v>
      </c>
      <c r="H359">
        <f t="shared" si="40"/>
        <v>895.83960000000002</v>
      </c>
      <c r="I359">
        <f t="shared" si="41"/>
        <v>802528.58892816002</v>
      </c>
    </row>
    <row r="360" spans="1:9" x14ac:dyDescent="0.3">
      <c r="A360">
        <v>226</v>
      </c>
      <c r="B360">
        <v>716</v>
      </c>
      <c r="C360">
        <f t="shared" si="35"/>
        <v>51076</v>
      </c>
      <c r="D360">
        <f t="shared" si="36"/>
        <v>161816</v>
      </c>
      <c r="E360">
        <f t="shared" si="37"/>
        <v>801.78331800000001</v>
      </c>
      <c r="F360">
        <f t="shared" si="38"/>
        <v>-85.783318000000008</v>
      </c>
      <c r="G360">
        <f t="shared" si="39"/>
        <v>7358.7776470891258</v>
      </c>
      <c r="H360">
        <f t="shared" si="40"/>
        <v>-170.16039999999998</v>
      </c>
      <c r="I360">
        <f t="shared" si="41"/>
        <v>28954.561728159995</v>
      </c>
    </row>
    <row r="361" spans="1:9" x14ac:dyDescent="0.3">
      <c r="A361">
        <v>2492</v>
      </c>
      <c r="B361">
        <v>2009</v>
      </c>
      <c r="C361">
        <f t="shared" si="35"/>
        <v>6210064</v>
      </c>
      <c r="D361">
        <f t="shared" si="36"/>
        <v>5006428</v>
      </c>
      <c r="E361">
        <f t="shared" si="37"/>
        <v>1593.3945560000002</v>
      </c>
      <c r="F361">
        <f t="shared" si="38"/>
        <v>415.60544399999981</v>
      </c>
      <c r="G361">
        <f t="shared" si="39"/>
        <v>172727.88508243699</v>
      </c>
      <c r="H361">
        <f t="shared" si="40"/>
        <v>1122.8396</v>
      </c>
      <c r="I361">
        <f t="shared" si="41"/>
        <v>1260768.7673281601</v>
      </c>
    </row>
    <row r="362" spans="1:9" x14ac:dyDescent="0.3">
      <c r="A362">
        <v>8</v>
      </c>
      <c r="B362">
        <v>428</v>
      </c>
      <c r="C362">
        <f t="shared" si="35"/>
        <v>64</v>
      </c>
      <c r="D362">
        <f t="shared" si="36"/>
        <v>3424</v>
      </c>
      <c r="E362">
        <f t="shared" si="37"/>
        <v>725.62654400000008</v>
      </c>
      <c r="F362">
        <f t="shared" si="38"/>
        <v>-297.62654400000008</v>
      </c>
      <c r="G362">
        <f t="shared" si="39"/>
        <v>88581.559693383984</v>
      </c>
      <c r="H362">
        <f t="shared" si="40"/>
        <v>-458.16039999999998</v>
      </c>
      <c r="I362">
        <f t="shared" si="41"/>
        <v>209910.95212815999</v>
      </c>
    </row>
    <row r="363" spans="1:9" x14ac:dyDescent="0.3">
      <c r="A363">
        <v>151</v>
      </c>
      <c r="B363">
        <v>682</v>
      </c>
      <c r="C363">
        <f t="shared" si="35"/>
        <v>22801</v>
      </c>
      <c r="D363">
        <f t="shared" si="36"/>
        <v>102982</v>
      </c>
      <c r="E363">
        <f t="shared" si="37"/>
        <v>775.58259300000009</v>
      </c>
      <c r="F363">
        <f t="shared" si="38"/>
        <v>-93.582593000000088</v>
      </c>
      <c r="G363">
        <f t="shared" si="39"/>
        <v>8757.7017126036662</v>
      </c>
      <c r="H363">
        <f t="shared" si="40"/>
        <v>-204.16039999999998</v>
      </c>
      <c r="I363">
        <f t="shared" si="41"/>
        <v>41681.468928159993</v>
      </c>
    </row>
    <row r="364" spans="1:9" x14ac:dyDescent="0.3">
      <c r="A364">
        <v>466</v>
      </c>
      <c r="B364">
        <v>989</v>
      </c>
      <c r="C364">
        <f t="shared" si="35"/>
        <v>217156</v>
      </c>
      <c r="D364">
        <f t="shared" si="36"/>
        <v>460874</v>
      </c>
      <c r="E364">
        <f t="shared" si="37"/>
        <v>885.62563799999998</v>
      </c>
      <c r="F364">
        <f t="shared" si="38"/>
        <v>103.37436200000002</v>
      </c>
      <c r="G364">
        <f t="shared" si="39"/>
        <v>10686.258718907047</v>
      </c>
      <c r="H364">
        <f t="shared" si="40"/>
        <v>102.83960000000002</v>
      </c>
      <c r="I364">
        <f t="shared" si="41"/>
        <v>10575.983328160004</v>
      </c>
    </row>
    <row r="365" spans="1:9" x14ac:dyDescent="0.3">
      <c r="A365">
        <v>50</v>
      </c>
      <c r="B365">
        <v>584</v>
      </c>
      <c r="C365">
        <f t="shared" si="35"/>
        <v>2500</v>
      </c>
      <c r="D365">
        <f t="shared" si="36"/>
        <v>29200</v>
      </c>
      <c r="E365">
        <f t="shared" si="37"/>
        <v>740.29894999999999</v>
      </c>
      <c r="F365">
        <f t="shared" si="38"/>
        <v>-156.29894999999999</v>
      </c>
      <c r="G365">
        <f t="shared" si="39"/>
        <v>24429.361771102496</v>
      </c>
      <c r="H365">
        <f t="shared" si="40"/>
        <v>-302.16039999999998</v>
      </c>
      <c r="I365">
        <f t="shared" si="41"/>
        <v>91300.907328159985</v>
      </c>
    </row>
    <row r="366" spans="1:9" x14ac:dyDescent="0.3">
      <c r="A366">
        <v>29</v>
      </c>
      <c r="B366">
        <v>1026</v>
      </c>
      <c r="C366">
        <f t="shared" si="35"/>
        <v>841</v>
      </c>
      <c r="D366">
        <f t="shared" si="36"/>
        <v>29754</v>
      </c>
      <c r="E366">
        <f t="shared" si="37"/>
        <v>732.96274700000004</v>
      </c>
      <c r="F366">
        <f t="shared" si="38"/>
        <v>293.03725299999996</v>
      </c>
      <c r="G366">
        <f t="shared" si="39"/>
        <v>85870.831645785991</v>
      </c>
      <c r="H366">
        <f t="shared" si="40"/>
        <v>139.83960000000002</v>
      </c>
      <c r="I366">
        <f t="shared" si="41"/>
        <v>19555.113728160006</v>
      </c>
    </row>
    <row r="367" spans="1:9" x14ac:dyDescent="0.3">
      <c r="A367">
        <v>266</v>
      </c>
      <c r="B367">
        <v>978</v>
      </c>
      <c r="C367">
        <f t="shared" si="35"/>
        <v>70756</v>
      </c>
      <c r="D367">
        <f t="shared" si="36"/>
        <v>260148</v>
      </c>
      <c r="E367">
        <f t="shared" si="37"/>
        <v>815.75703800000008</v>
      </c>
      <c r="F367">
        <f t="shared" si="38"/>
        <v>162.24296199999992</v>
      </c>
      <c r="G367">
        <f t="shared" si="39"/>
        <v>26322.778718533416</v>
      </c>
      <c r="H367">
        <f t="shared" si="40"/>
        <v>91.839600000000019</v>
      </c>
      <c r="I367">
        <f t="shared" si="41"/>
        <v>8434.5121281600041</v>
      </c>
    </row>
    <row r="368" spans="1:9" x14ac:dyDescent="0.3">
      <c r="A368">
        <v>2229</v>
      </c>
      <c r="B368">
        <v>1886</v>
      </c>
      <c r="C368">
        <f t="shared" si="35"/>
        <v>4968441</v>
      </c>
      <c r="D368">
        <f t="shared" si="36"/>
        <v>4203894</v>
      </c>
      <c r="E368">
        <f t="shared" si="37"/>
        <v>1501.517347</v>
      </c>
      <c r="F368">
        <f t="shared" si="38"/>
        <v>384.48265300000003</v>
      </c>
      <c r="G368">
        <f t="shared" si="39"/>
        <v>147826.91045791842</v>
      </c>
      <c r="H368">
        <f t="shared" si="40"/>
        <v>999.83960000000002</v>
      </c>
      <c r="I368">
        <f t="shared" si="41"/>
        <v>999679.22572816</v>
      </c>
    </row>
    <row r="369" spans="1:9" x14ac:dyDescent="0.3">
      <c r="A369">
        <v>13</v>
      </c>
      <c r="B369">
        <v>917</v>
      </c>
      <c r="C369">
        <f t="shared" si="35"/>
        <v>169</v>
      </c>
      <c r="D369">
        <f t="shared" si="36"/>
        <v>11921</v>
      </c>
      <c r="E369">
        <f t="shared" si="37"/>
        <v>727.37325900000008</v>
      </c>
      <c r="F369">
        <f t="shared" si="38"/>
        <v>189.62674099999992</v>
      </c>
      <c r="G369">
        <f t="shared" si="39"/>
        <v>35958.300902281051</v>
      </c>
      <c r="H369">
        <f t="shared" si="40"/>
        <v>30.839600000000019</v>
      </c>
      <c r="I369">
        <f t="shared" si="41"/>
        <v>951.08092816000112</v>
      </c>
    </row>
    <row r="370" spans="1:9" x14ac:dyDescent="0.3">
      <c r="A370">
        <v>5407</v>
      </c>
      <c r="B370">
        <v>2132</v>
      </c>
      <c r="C370">
        <f t="shared" si="35"/>
        <v>29235649</v>
      </c>
      <c r="D370">
        <f t="shared" si="36"/>
        <v>11527724</v>
      </c>
      <c r="E370">
        <f t="shared" si="37"/>
        <v>2611.7294010000001</v>
      </c>
      <c r="F370">
        <f t="shared" si="38"/>
        <v>-479.72940100000005</v>
      </c>
      <c r="G370">
        <f t="shared" si="39"/>
        <v>230140.29818381884</v>
      </c>
      <c r="H370">
        <f t="shared" si="40"/>
        <v>1245.8396</v>
      </c>
      <c r="I370">
        <f t="shared" si="41"/>
        <v>1552116.30892816</v>
      </c>
    </row>
    <row r="371" spans="1:9" x14ac:dyDescent="0.3">
      <c r="A371">
        <v>409</v>
      </c>
      <c r="B371">
        <v>903</v>
      </c>
      <c r="C371">
        <f t="shared" si="35"/>
        <v>167281</v>
      </c>
      <c r="D371">
        <f t="shared" si="36"/>
        <v>369327</v>
      </c>
      <c r="E371">
        <f t="shared" si="37"/>
        <v>865.71308700000009</v>
      </c>
      <c r="F371">
        <f t="shared" si="38"/>
        <v>37.286912999999913</v>
      </c>
      <c r="G371">
        <f t="shared" si="39"/>
        <v>1390.3138810695625</v>
      </c>
      <c r="H371">
        <f t="shared" si="40"/>
        <v>16.839600000000019</v>
      </c>
      <c r="I371">
        <f t="shared" si="41"/>
        <v>283.5721281600006</v>
      </c>
    </row>
    <row r="372" spans="1:9" x14ac:dyDescent="0.3">
      <c r="A372">
        <v>380</v>
      </c>
      <c r="B372">
        <v>772</v>
      </c>
      <c r="C372">
        <f t="shared" si="35"/>
        <v>144400</v>
      </c>
      <c r="D372">
        <f t="shared" si="36"/>
        <v>293360</v>
      </c>
      <c r="E372">
        <f t="shared" si="37"/>
        <v>855.58213999999998</v>
      </c>
      <c r="F372">
        <f t="shared" si="38"/>
        <v>-83.582139999999981</v>
      </c>
      <c r="G372">
        <f t="shared" si="39"/>
        <v>6985.9741269795968</v>
      </c>
      <c r="H372">
        <f t="shared" si="40"/>
        <v>-114.16039999999998</v>
      </c>
      <c r="I372">
        <f t="shared" si="41"/>
        <v>13032.596928159996</v>
      </c>
    </row>
    <row r="373" spans="1:9" x14ac:dyDescent="0.3">
      <c r="A373">
        <v>745</v>
      </c>
      <c r="B373">
        <v>711</v>
      </c>
      <c r="C373">
        <f t="shared" si="35"/>
        <v>555025</v>
      </c>
      <c r="D373">
        <f t="shared" si="36"/>
        <v>529695</v>
      </c>
      <c r="E373">
        <f t="shared" si="37"/>
        <v>983.09233500000005</v>
      </c>
      <c r="F373">
        <f t="shared" si="38"/>
        <v>-272.09233500000005</v>
      </c>
      <c r="G373">
        <f t="shared" si="39"/>
        <v>74034.238765752249</v>
      </c>
      <c r="H373">
        <f t="shared" si="40"/>
        <v>-175.16039999999998</v>
      </c>
      <c r="I373">
        <f t="shared" si="41"/>
        <v>30681.165728159995</v>
      </c>
    </row>
    <row r="374" spans="1:9" x14ac:dyDescent="0.3">
      <c r="A374">
        <v>12</v>
      </c>
      <c r="B374">
        <v>734</v>
      </c>
      <c r="C374">
        <f t="shared" si="35"/>
        <v>144</v>
      </c>
      <c r="D374">
        <f t="shared" si="36"/>
        <v>8808</v>
      </c>
      <c r="E374">
        <f t="shared" si="37"/>
        <v>727.0239160000001</v>
      </c>
      <c r="F374">
        <f t="shared" si="38"/>
        <v>6.9760839999999007</v>
      </c>
      <c r="G374">
        <f t="shared" si="39"/>
        <v>48.665747975054614</v>
      </c>
      <c r="H374">
        <f t="shared" si="40"/>
        <v>-152.16039999999998</v>
      </c>
      <c r="I374">
        <f t="shared" si="41"/>
        <v>23152.787328159993</v>
      </c>
    </row>
    <row r="375" spans="1:9" x14ac:dyDescent="0.3">
      <c r="A375">
        <v>508</v>
      </c>
      <c r="B375">
        <v>988</v>
      </c>
      <c r="C375">
        <f t="shared" si="35"/>
        <v>258064</v>
      </c>
      <c r="D375">
        <f t="shared" si="36"/>
        <v>501904</v>
      </c>
      <c r="E375">
        <f t="shared" si="37"/>
        <v>900.29804400000012</v>
      </c>
      <c r="F375">
        <f t="shared" si="38"/>
        <v>87.701955999999882</v>
      </c>
      <c r="G375">
        <f t="shared" si="39"/>
        <v>7691.6330862259156</v>
      </c>
      <c r="H375">
        <f t="shared" si="40"/>
        <v>101.83960000000002</v>
      </c>
      <c r="I375">
        <f t="shared" si="41"/>
        <v>10371.304128160004</v>
      </c>
    </row>
    <row r="376" spans="1:9" x14ac:dyDescent="0.3">
      <c r="A376">
        <v>93</v>
      </c>
      <c r="B376">
        <v>211</v>
      </c>
      <c r="C376">
        <f t="shared" si="35"/>
        <v>8649</v>
      </c>
      <c r="D376">
        <f t="shared" si="36"/>
        <v>19623</v>
      </c>
      <c r="E376">
        <f t="shared" si="37"/>
        <v>755.3206990000001</v>
      </c>
      <c r="F376">
        <f t="shared" si="38"/>
        <v>-544.3206990000001</v>
      </c>
      <c r="G376">
        <f t="shared" si="39"/>
        <v>296285.02335984871</v>
      </c>
      <c r="H376">
        <f t="shared" si="40"/>
        <v>-675.16039999999998</v>
      </c>
      <c r="I376">
        <f t="shared" si="41"/>
        <v>455841.56572815997</v>
      </c>
    </row>
    <row r="377" spans="1:9" x14ac:dyDescent="0.3">
      <c r="A377">
        <v>53</v>
      </c>
      <c r="B377">
        <v>577</v>
      </c>
      <c r="C377">
        <f t="shared" si="35"/>
        <v>2809</v>
      </c>
      <c r="D377">
        <f t="shared" si="36"/>
        <v>30581</v>
      </c>
      <c r="E377">
        <f t="shared" si="37"/>
        <v>741.34697900000003</v>
      </c>
      <c r="F377">
        <f t="shared" si="38"/>
        <v>-164.34697900000003</v>
      </c>
      <c r="G377">
        <f t="shared" si="39"/>
        <v>27009.929506426452</v>
      </c>
      <c r="H377">
        <f t="shared" si="40"/>
        <v>-309.16039999999998</v>
      </c>
      <c r="I377">
        <f t="shared" si="41"/>
        <v>95580.152928159994</v>
      </c>
    </row>
    <row r="378" spans="1:9" x14ac:dyDescent="0.3">
      <c r="A378">
        <v>1741</v>
      </c>
      <c r="B378">
        <v>1435</v>
      </c>
      <c r="C378">
        <f t="shared" si="35"/>
        <v>3031081</v>
      </c>
      <c r="D378">
        <f t="shared" si="36"/>
        <v>2498335</v>
      </c>
      <c r="E378">
        <f t="shared" si="37"/>
        <v>1331.0379630000002</v>
      </c>
      <c r="F378">
        <f t="shared" si="38"/>
        <v>103.96203699999978</v>
      </c>
      <c r="G378">
        <f t="shared" si="39"/>
        <v>10808.105137189325</v>
      </c>
      <c r="H378">
        <f t="shared" si="40"/>
        <v>548.83960000000002</v>
      </c>
      <c r="I378">
        <f t="shared" si="41"/>
        <v>301224.90652816003</v>
      </c>
    </row>
    <row r="379" spans="1:9" x14ac:dyDescent="0.3">
      <c r="A379">
        <v>414</v>
      </c>
      <c r="B379">
        <v>1125</v>
      </c>
      <c r="C379">
        <f t="shared" si="35"/>
        <v>171396</v>
      </c>
      <c r="D379">
        <f t="shared" si="36"/>
        <v>465750</v>
      </c>
      <c r="E379">
        <f t="shared" si="37"/>
        <v>867.45980200000008</v>
      </c>
      <c r="F379">
        <f t="shared" si="38"/>
        <v>257.54019799999992</v>
      </c>
      <c r="G379">
        <f t="shared" si="39"/>
        <v>66326.953585879164</v>
      </c>
      <c r="H379">
        <f t="shared" si="40"/>
        <v>238.83960000000002</v>
      </c>
      <c r="I379">
        <f t="shared" si="41"/>
        <v>57044.354528160009</v>
      </c>
    </row>
    <row r="380" spans="1:9" x14ac:dyDescent="0.3">
      <c r="A380">
        <v>503</v>
      </c>
      <c r="B380">
        <v>499</v>
      </c>
      <c r="C380">
        <f t="shared" si="35"/>
        <v>253009</v>
      </c>
      <c r="D380">
        <f t="shared" si="36"/>
        <v>250997</v>
      </c>
      <c r="E380">
        <f t="shared" si="37"/>
        <v>898.55132900000001</v>
      </c>
      <c r="F380">
        <f t="shared" si="38"/>
        <v>-399.55132900000001</v>
      </c>
      <c r="G380">
        <f t="shared" si="39"/>
        <v>159641.26450566624</v>
      </c>
      <c r="H380">
        <f t="shared" si="40"/>
        <v>-387.16039999999998</v>
      </c>
      <c r="I380">
        <f t="shared" si="41"/>
        <v>149893.17532816</v>
      </c>
    </row>
    <row r="381" spans="1:9" x14ac:dyDescent="0.3">
      <c r="A381">
        <v>692</v>
      </c>
      <c r="B381">
        <v>1166</v>
      </c>
      <c r="C381">
        <f t="shared" si="35"/>
        <v>478864</v>
      </c>
      <c r="D381">
        <f t="shared" si="36"/>
        <v>806872</v>
      </c>
      <c r="E381">
        <f t="shared" si="37"/>
        <v>964.57715600000006</v>
      </c>
      <c r="F381">
        <f t="shared" si="38"/>
        <v>201.42284399999994</v>
      </c>
      <c r="G381">
        <f t="shared" si="39"/>
        <v>40571.162085048309</v>
      </c>
      <c r="H381">
        <f t="shared" si="40"/>
        <v>279.83960000000002</v>
      </c>
      <c r="I381">
        <f t="shared" si="41"/>
        <v>78310.201728160013</v>
      </c>
    </row>
    <row r="382" spans="1:9" x14ac:dyDescent="0.3">
      <c r="A382">
        <v>934</v>
      </c>
      <c r="B382">
        <v>988</v>
      </c>
      <c r="C382">
        <f t="shared" si="35"/>
        <v>872356</v>
      </c>
      <c r="D382">
        <f t="shared" si="36"/>
        <v>922792</v>
      </c>
      <c r="E382">
        <f t="shared" si="37"/>
        <v>1049.118162</v>
      </c>
      <c r="F382">
        <f t="shared" si="38"/>
        <v>-61.118161999999984</v>
      </c>
      <c r="G382">
        <f t="shared" si="39"/>
        <v>3735.4297262582422</v>
      </c>
      <c r="H382">
        <f t="shared" si="40"/>
        <v>101.83960000000002</v>
      </c>
      <c r="I382">
        <f t="shared" si="41"/>
        <v>10371.304128160004</v>
      </c>
    </row>
    <row r="383" spans="1:9" x14ac:dyDescent="0.3">
      <c r="A383">
        <v>359</v>
      </c>
      <c r="B383">
        <v>1336</v>
      </c>
      <c r="C383">
        <f t="shared" si="35"/>
        <v>128881</v>
      </c>
      <c r="D383">
        <f t="shared" si="36"/>
        <v>479624</v>
      </c>
      <c r="E383">
        <f t="shared" si="37"/>
        <v>848.24593700000003</v>
      </c>
      <c r="F383">
        <f t="shared" si="38"/>
        <v>487.75406299999997</v>
      </c>
      <c r="G383">
        <f t="shared" si="39"/>
        <v>237904.02597300796</v>
      </c>
      <c r="H383">
        <f t="shared" si="40"/>
        <v>449.83960000000002</v>
      </c>
      <c r="I383">
        <f t="shared" si="41"/>
        <v>202355.66572816001</v>
      </c>
    </row>
    <row r="384" spans="1:9" x14ac:dyDescent="0.3">
      <c r="A384">
        <v>166</v>
      </c>
      <c r="B384">
        <v>594</v>
      </c>
      <c r="C384">
        <f t="shared" si="35"/>
        <v>27556</v>
      </c>
      <c r="D384">
        <f t="shared" si="36"/>
        <v>98604</v>
      </c>
      <c r="E384">
        <f t="shared" si="37"/>
        <v>780.82273800000007</v>
      </c>
      <c r="F384">
        <f t="shared" si="38"/>
        <v>-186.82273800000007</v>
      </c>
      <c r="G384">
        <f t="shared" si="39"/>
        <v>34902.73543381667</v>
      </c>
      <c r="H384">
        <f t="shared" si="40"/>
        <v>-292.16039999999998</v>
      </c>
      <c r="I384">
        <f t="shared" si="41"/>
        <v>85357.699328159986</v>
      </c>
    </row>
    <row r="385" spans="1:9" x14ac:dyDescent="0.3">
      <c r="A385">
        <v>1071</v>
      </c>
      <c r="B385">
        <v>1354</v>
      </c>
      <c r="C385">
        <f t="shared" si="35"/>
        <v>1147041</v>
      </c>
      <c r="D385">
        <f t="shared" si="36"/>
        <v>1450134</v>
      </c>
      <c r="E385">
        <f t="shared" si="37"/>
        <v>1096.978153</v>
      </c>
      <c r="F385">
        <f t="shared" si="38"/>
        <v>257.02184699999998</v>
      </c>
      <c r="G385">
        <f t="shared" si="39"/>
        <v>66060.229835291393</v>
      </c>
      <c r="H385">
        <f t="shared" si="40"/>
        <v>467.83960000000002</v>
      </c>
      <c r="I385">
        <f t="shared" si="41"/>
        <v>218873.89132816001</v>
      </c>
    </row>
    <row r="386" spans="1:9" x14ac:dyDescent="0.3">
      <c r="A386">
        <v>2548</v>
      </c>
      <c r="B386">
        <v>1458</v>
      </c>
      <c r="C386">
        <f t="shared" si="35"/>
        <v>6492304</v>
      </c>
      <c r="D386">
        <f t="shared" si="36"/>
        <v>3714984</v>
      </c>
      <c r="E386">
        <f t="shared" si="37"/>
        <v>1612.9577640000002</v>
      </c>
      <c r="F386">
        <f t="shared" si="38"/>
        <v>-154.95776400000022</v>
      </c>
      <c r="G386">
        <f t="shared" si="39"/>
        <v>24011.908623879764</v>
      </c>
      <c r="H386">
        <f t="shared" si="40"/>
        <v>571.83960000000002</v>
      </c>
      <c r="I386">
        <f t="shared" si="41"/>
        <v>327000.52812816005</v>
      </c>
    </row>
    <row r="387" spans="1:9" x14ac:dyDescent="0.3">
      <c r="A387">
        <v>632</v>
      </c>
      <c r="B387">
        <v>1115</v>
      </c>
      <c r="C387">
        <f t="shared" ref="C387:C400" si="42">PRODUCT(A387,A387)</f>
        <v>399424</v>
      </c>
      <c r="D387">
        <f t="shared" ref="D387:D400" si="43">PRODUCT(A387,B387)</f>
        <v>704680</v>
      </c>
      <c r="E387">
        <f t="shared" ref="E387:E400" si="44">722.8318+PRODUCT(0.349343,A387)</f>
        <v>943.61657600000012</v>
      </c>
      <c r="F387">
        <f t="shared" ref="F387:F400" si="45">B387-E387</f>
        <v>171.38342399999988</v>
      </c>
      <c r="G387">
        <f t="shared" ref="G387:G400" si="46">PRODUCT(F387,F387)</f>
        <v>29372.278021963735</v>
      </c>
      <c r="H387">
        <f t="shared" ref="H387:H400" si="47">B387-886.1604</f>
        <v>228.83960000000002</v>
      </c>
      <c r="I387">
        <f t="shared" ref="I387:I400" si="48">PRODUCT(H387,H387)</f>
        <v>52367.562528160008</v>
      </c>
    </row>
    <row r="388" spans="1:9" x14ac:dyDescent="0.3">
      <c r="A388">
        <v>404</v>
      </c>
      <c r="B388">
        <v>447</v>
      </c>
      <c r="C388">
        <f t="shared" si="42"/>
        <v>163216</v>
      </c>
      <c r="D388">
        <f t="shared" si="43"/>
        <v>180588</v>
      </c>
      <c r="E388">
        <f t="shared" si="44"/>
        <v>863.96637200000009</v>
      </c>
      <c r="F388">
        <f t="shared" si="45"/>
        <v>-416.96637200000009</v>
      </c>
      <c r="G388">
        <f t="shared" si="46"/>
        <v>173860.95537884245</v>
      </c>
      <c r="H388">
        <f t="shared" si="47"/>
        <v>-439.16039999999998</v>
      </c>
      <c r="I388">
        <f t="shared" si="48"/>
        <v>192861.85692815998</v>
      </c>
    </row>
    <row r="389" spans="1:9" x14ac:dyDescent="0.3">
      <c r="A389">
        <v>234</v>
      </c>
      <c r="B389">
        <v>1312</v>
      </c>
      <c r="C389">
        <f t="shared" si="42"/>
        <v>54756</v>
      </c>
      <c r="D389">
        <f t="shared" si="43"/>
        <v>307008</v>
      </c>
      <c r="E389">
        <f t="shared" si="44"/>
        <v>804.57806200000005</v>
      </c>
      <c r="F389">
        <f t="shared" si="45"/>
        <v>507.42193799999995</v>
      </c>
      <c r="G389">
        <f t="shared" si="46"/>
        <v>257477.0231636758</v>
      </c>
      <c r="H389">
        <f t="shared" si="47"/>
        <v>425.83960000000002</v>
      </c>
      <c r="I389">
        <f t="shared" si="48"/>
        <v>181339.36492816001</v>
      </c>
    </row>
    <row r="390" spans="1:9" x14ac:dyDescent="0.3">
      <c r="A390">
        <v>111</v>
      </c>
      <c r="B390">
        <v>817</v>
      </c>
      <c r="C390">
        <f t="shared" si="42"/>
        <v>12321</v>
      </c>
      <c r="D390">
        <f t="shared" si="43"/>
        <v>90687</v>
      </c>
      <c r="E390">
        <f t="shared" si="44"/>
        <v>761.60887300000002</v>
      </c>
      <c r="F390">
        <f t="shared" si="45"/>
        <v>55.391126999999983</v>
      </c>
      <c r="G390">
        <f t="shared" si="46"/>
        <v>3068.1769503301271</v>
      </c>
      <c r="H390">
        <f t="shared" si="47"/>
        <v>-69.160399999999981</v>
      </c>
      <c r="I390">
        <f t="shared" si="48"/>
        <v>4783.1609281599976</v>
      </c>
    </row>
    <row r="391" spans="1:9" x14ac:dyDescent="0.3">
      <c r="A391">
        <v>539</v>
      </c>
      <c r="B391">
        <v>344</v>
      </c>
      <c r="C391">
        <f t="shared" si="42"/>
        <v>290521</v>
      </c>
      <c r="D391">
        <f t="shared" si="43"/>
        <v>185416</v>
      </c>
      <c r="E391">
        <f t="shared" si="44"/>
        <v>911.12767700000006</v>
      </c>
      <c r="F391">
        <f t="shared" si="45"/>
        <v>-567.12767700000006</v>
      </c>
      <c r="G391">
        <f t="shared" si="46"/>
        <v>321633.80201941641</v>
      </c>
      <c r="H391">
        <f t="shared" si="47"/>
        <v>-542.16039999999998</v>
      </c>
      <c r="I391">
        <f t="shared" si="48"/>
        <v>293937.89932815998</v>
      </c>
    </row>
    <row r="392" spans="1:9" x14ac:dyDescent="0.3">
      <c r="A392">
        <v>266</v>
      </c>
      <c r="B392">
        <v>1249</v>
      </c>
      <c r="C392">
        <f t="shared" si="42"/>
        <v>70756</v>
      </c>
      <c r="D392">
        <f t="shared" si="43"/>
        <v>332234</v>
      </c>
      <c r="E392">
        <f t="shared" si="44"/>
        <v>815.75703800000008</v>
      </c>
      <c r="F392">
        <f t="shared" si="45"/>
        <v>433.24296199999992</v>
      </c>
      <c r="G392">
        <f t="shared" si="46"/>
        <v>187699.46412253336</v>
      </c>
      <c r="H392">
        <f t="shared" si="47"/>
        <v>362.83960000000002</v>
      </c>
      <c r="I392">
        <f t="shared" si="48"/>
        <v>131652.57532816002</v>
      </c>
    </row>
    <row r="393" spans="1:9" x14ac:dyDescent="0.3">
      <c r="A393">
        <v>876</v>
      </c>
      <c r="B393">
        <v>735</v>
      </c>
      <c r="C393">
        <f t="shared" si="42"/>
        <v>767376</v>
      </c>
      <c r="D393">
        <f t="shared" si="43"/>
        <v>643860</v>
      </c>
      <c r="E393">
        <f t="shared" si="44"/>
        <v>1028.856268</v>
      </c>
      <c r="F393">
        <f t="shared" si="45"/>
        <v>-293.856268</v>
      </c>
      <c r="G393">
        <f t="shared" si="46"/>
        <v>86351.50624288783</v>
      </c>
      <c r="H393">
        <f t="shared" si="47"/>
        <v>-151.16039999999998</v>
      </c>
      <c r="I393">
        <f t="shared" si="48"/>
        <v>22849.466528159996</v>
      </c>
    </row>
    <row r="394" spans="1:9" x14ac:dyDescent="0.3">
      <c r="A394">
        <v>176</v>
      </c>
      <c r="B394">
        <v>840</v>
      </c>
      <c r="C394">
        <f t="shared" si="42"/>
        <v>30976</v>
      </c>
      <c r="D394">
        <f t="shared" si="43"/>
        <v>147840</v>
      </c>
      <c r="E394">
        <f t="shared" si="44"/>
        <v>784.31616800000006</v>
      </c>
      <c r="F394">
        <f t="shared" si="45"/>
        <v>55.683831999999938</v>
      </c>
      <c r="G394">
        <f t="shared" si="46"/>
        <v>3100.6891462042172</v>
      </c>
      <c r="H394">
        <f t="shared" si="47"/>
        <v>-46.160399999999981</v>
      </c>
      <c r="I394">
        <f t="shared" si="48"/>
        <v>2130.7825281599985</v>
      </c>
    </row>
    <row r="395" spans="1:9" x14ac:dyDescent="0.3">
      <c r="A395">
        <v>43</v>
      </c>
      <c r="B395">
        <v>609</v>
      </c>
      <c r="C395">
        <f t="shared" si="42"/>
        <v>1849</v>
      </c>
      <c r="D395">
        <f t="shared" si="43"/>
        <v>26187</v>
      </c>
      <c r="E395">
        <f t="shared" si="44"/>
        <v>737.85354900000004</v>
      </c>
      <c r="F395">
        <f t="shared" si="45"/>
        <v>-128.85354900000004</v>
      </c>
      <c r="G395">
        <f t="shared" si="46"/>
        <v>16603.23708989541</v>
      </c>
      <c r="H395">
        <f t="shared" si="47"/>
        <v>-277.16039999999998</v>
      </c>
      <c r="I395">
        <f t="shared" si="48"/>
        <v>76817.887328159995</v>
      </c>
    </row>
    <row r="396" spans="1:9" x14ac:dyDescent="0.3">
      <c r="A396">
        <v>56</v>
      </c>
      <c r="B396">
        <v>611</v>
      </c>
      <c r="C396">
        <f t="shared" si="42"/>
        <v>3136</v>
      </c>
      <c r="D396">
        <f t="shared" si="43"/>
        <v>34216</v>
      </c>
      <c r="E396">
        <f t="shared" si="44"/>
        <v>742.39500800000008</v>
      </c>
      <c r="F396">
        <f t="shared" si="45"/>
        <v>-131.39500800000008</v>
      </c>
      <c r="G396">
        <f t="shared" si="46"/>
        <v>17264.648127320084</v>
      </c>
      <c r="H396">
        <f t="shared" si="47"/>
        <v>-275.16039999999998</v>
      </c>
      <c r="I396">
        <f t="shared" si="48"/>
        <v>75713.245728159993</v>
      </c>
    </row>
    <row r="397" spans="1:9" x14ac:dyDescent="0.3">
      <c r="A397">
        <v>11</v>
      </c>
      <c r="B397">
        <v>822</v>
      </c>
      <c r="C397">
        <f t="shared" si="42"/>
        <v>121</v>
      </c>
      <c r="D397">
        <f t="shared" si="43"/>
        <v>9042</v>
      </c>
      <c r="E397">
        <f t="shared" si="44"/>
        <v>726.67457300000001</v>
      </c>
      <c r="F397">
        <f t="shared" si="45"/>
        <v>95.325426999999991</v>
      </c>
      <c r="G397">
        <f t="shared" si="46"/>
        <v>9086.9370327323268</v>
      </c>
      <c r="H397">
        <f t="shared" si="47"/>
        <v>-64.160399999999981</v>
      </c>
      <c r="I397">
        <f t="shared" si="48"/>
        <v>4116.5569281599974</v>
      </c>
    </row>
    <row r="398" spans="1:9" x14ac:dyDescent="0.3">
      <c r="A398">
        <v>2329</v>
      </c>
      <c r="B398">
        <v>1400</v>
      </c>
      <c r="C398">
        <f t="shared" si="42"/>
        <v>5424241</v>
      </c>
      <c r="D398">
        <f t="shared" si="43"/>
        <v>3260600</v>
      </c>
      <c r="E398">
        <f t="shared" si="44"/>
        <v>1536.4516470000001</v>
      </c>
      <c r="F398">
        <f t="shared" si="45"/>
        <v>-136.45164700000009</v>
      </c>
      <c r="G398">
        <f t="shared" si="46"/>
        <v>18619.051969012635</v>
      </c>
      <c r="H398">
        <f t="shared" si="47"/>
        <v>513.83960000000002</v>
      </c>
      <c r="I398">
        <f t="shared" si="48"/>
        <v>264031.13452816004</v>
      </c>
    </row>
    <row r="399" spans="1:9" x14ac:dyDescent="0.3">
      <c r="A399">
        <v>395</v>
      </c>
      <c r="B399">
        <v>1011</v>
      </c>
      <c r="C399">
        <f t="shared" si="42"/>
        <v>156025</v>
      </c>
      <c r="D399">
        <f t="shared" si="43"/>
        <v>399345</v>
      </c>
      <c r="E399">
        <f t="shared" si="44"/>
        <v>860.82228500000008</v>
      </c>
      <c r="F399">
        <f t="shared" si="45"/>
        <v>150.17771499999992</v>
      </c>
      <c r="G399">
        <f t="shared" si="46"/>
        <v>22553.346082621203</v>
      </c>
      <c r="H399">
        <f t="shared" si="47"/>
        <v>124.83960000000002</v>
      </c>
      <c r="I399">
        <f t="shared" si="48"/>
        <v>15584.925728160004</v>
      </c>
    </row>
    <row r="400" spans="1:9" x14ac:dyDescent="0.3">
      <c r="A400">
        <v>122</v>
      </c>
      <c r="B400">
        <v>1023</v>
      </c>
      <c r="C400">
        <f t="shared" si="42"/>
        <v>14884</v>
      </c>
      <c r="D400">
        <f t="shared" si="43"/>
        <v>124806</v>
      </c>
      <c r="E400">
        <f t="shared" si="44"/>
        <v>765.4516460000001</v>
      </c>
      <c r="F400">
        <f t="shared" si="45"/>
        <v>257.5483539999999</v>
      </c>
      <c r="G400">
        <f t="shared" si="46"/>
        <v>66331.154648109266</v>
      </c>
      <c r="H400">
        <f t="shared" si="47"/>
        <v>136.83960000000002</v>
      </c>
      <c r="I400">
        <f t="shared" si="48"/>
        <v>18725.076128160006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G1" activeCellId="1" sqref="B1:B1048576 G1:G1048576"/>
    </sheetView>
  </sheetViews>
  <sheetFormatPr defaultRowHeight="14.4" x14ac:dyDescent="0.3"/>
  <sheetData>
    <row r="1" spans="1:7" x14ac:dyDescent="0.3">
      <c r="A1" t="s">
        <v>0</v>
      </c>
      <c r="B1" t="s">
        <v>1</v>
      </c>
      <c r="C1" t="s">
        <v>2</v>
      </c>
      <c r="D1" t="s">
        <v>3</v>
      </c>
      <c r="E1" t="s">
        <v>4</v>
      </c>
      <c r="F1" t="s">
        <v>5</v>
      </c>
      <c r="G1" t="s">
        <v>6</v>
      </c>
    </row>
    <row r="2" spans="1:7" x14ac:dyDescent="0.3">
      <c r="A2" t="s">
        <v>8</v>
      </c>
      <c r="B2">
        <v>229</v>
      </c>
      <c r="C2">
        <v>93529</v>
      </c>
      <c r="D2">
        <v>15.1</v>
      </c>
      <c r="E2">
        <v>1.1399999999999999</v>
      </c>
      <c r="F2">
        <v>18120</v>
      </c>
      <c r="G2">
        <v>1176</v>
      </c>
    </row>
    <row r="3" spans="1:7" x14ac:dyDescent="0.3">
      <c r="A3" t="s">
        <v>7</v>
      </c>
      <c r="B3">
        <v>196</v>
      </c>
      <c r="C3">
        <v>55892</v>
      </c>
      <c r="D3">
        <v>14</v>
      </c>
      <c r="E3">
        <v>4.79</v>
      </c>
      <c r="F3">
        <v>8400</v>
      </c>
      <c r="G3">
        <v>663</v>
      </c>
    </row>
    <row r="4" spans="1:7" x14ac:dyDescent="0.3">
      <c r="A4" t="s">
        <v>7</v>
      </c>
      <c r="B4">
        <v>35</v>
      </c>
      <c r="C4">
        <v>4606</v>
      </c>
      <c r="D4">
        <v>5.9</v>
      </c>
      <c r="E4">
        <v>2.89</v>
      </c>
      <c r="F4">
        <v>3540</v>
      </c>
      <c r="G4">
        <v>464</v>
      </c>
    </row>
    <row r="5" spans="1:7" x14ac:dyDescent="0.3">
      <c r="A5" t="s">
        <v>8</v>
      </c>
      <c r="B5">
        <v>221</v>
      </c>
      <c r="C5">
        <v>53617</v>
      </c>
      <c r="D5">
        <v>14.8</v>
      </c>
      <c r="E5">
        <v>1.89</v>
      </c>
      <c r="F5">
        <v>17760</v>
      </c>
      <c r="G5">
        <v>693</v>
      </c>
    </row>
    <row r="6" spans="1:7" x14ac:dyDescent="0.3">
      <c r="A6" t="s">
        <v>8</v>
      </c>
      <c r="B6">
        <v>3</v>
      </c>
      <c r="C6">
        <v>158</v>
      </c>
      <c r="D6">
        <v>1.7</v>
      </c>
      <c r="E6">
        <v>3.25</v>
      </c>
      <c r="F6">
        <v>2040</v>
      </c>
      <c r="G6">
        <v>800</v>
      </c>
    </row>
    <row r="7" spans="1:7" x14ac:dyDescent="0.3">
      <c r="A7" t="s">
        <v>7</v>
      </c>
      <c r="B7">
        <v>60</v>
      </c>
      <c r="C7">
        <v>9407</v>
      </c>
      <c r="D7">
        <v>7.7</v>
      </c>
      <c r="E7">
        <v>3.6</v>
      </c>
      <c r="F7">
        <v>4620</v>
      </c>
      <c r="G7">
        <v>604</v>
      </c>
    </row>
    <row r="8" spans="1:7" x14ac:dyDescent="0.3">
      <c r="A8" t="s">
        <v>7</v>
      </c>
      <c r="B8">
        <v>160</v>
      </c>
      <c r="C8">
        <v>27675</v>
      </c>
      <c r="D8">
        <v>12.6</v>
      </c>
      <c r="E8">
        <v>3.98</v>
      </c>
      <c r="F8">
        <v>7560</v>
      </c>
      <c r="G8">
        <v>311</v>
      </c>
    </row>
    <row r="9" spans="1:7" x14ac:dyDescent="0.3">
      <c r="A9" t="s">
        <v>8</v>
      </c>
      <c r="B9">
        <v>150</v>
      </c>
      <c r="C9">
        <v>39937</v>
      </c>
      <c r="D9">
        <v>12.3</v>
      </c>
      <c r="E9">
        <v>4.54</v>
      </c>
      <c r="F9">
        <v>14760</v>
      </c>
      <c r="G9">
        <v>838</v>
      </c>
    </row>
    <row r="10" spans="1:7" x14ac:dyDescent="0.3">
      <c r="A10" t="s">
        <v>7</v>
      </c>
      <c r="B10">
        <v>981</v>
      </c>
      <c r="C10">
        <v>739281</v>
      </c>
      <c r="D10">
        <v>31.4</v>
      </c>
      <c r="E10">
        <v>2.12</v>
      </c>
      <c r="F10">
        <v>18840</v>
      </c>
      <c r="G10">
        <v>1269</v>
      </c>
    </row>
    <row r="11" spans="1:7" x14ac:dyDescent="0.3">
      <c r="A11" t="s">
        <v>7</v>
      </c>
      <c r="B11">
        <v>113</v>
      </c>
      <c r="C11">
        <v>18533</v>
      </c>
      <c r="D11">
        <v>10.6</v>
      </c>
      <c r="E11">
        <v>2.33</v>
      </c>
      <c r="F11">
        <v>6360</v>
      </c>
      <c r="G11">
        <v>735</v>
      </c>
    </row>
    <row r="12" spans="1:7" x14ac:dyDescent="0.3">
      <c r="A12" t="s">
        <v>7</v>
      </c>
      <c r="B12">
        <v>64</v>
      </c>
      <c r="C12">
        <v>8949</v>
      </c>
      <c r="D12">
        <v>8</v>
      </c>
      <c r="E12">
        <v>1.69</v>
      </c>
      <c r="F12">
        <v>4800</v>
      </c>
      <c r="G12">
        <v>563</v>
      </c>
    </row>
    <row r="13" spans="1:7" x14ac:dyDescent="0.3">
      <c r="A13" t="s">
        <v>8</v>
      </c>
      <c r="B13">
        <v>883</v>
      </c>
      <c r="C13">
        <v>550560</v>
      </c>
      <c r="D13">
        <v>29.8</v>
      </c>
      <c r="E13">
        <v>1.61</v>
      </c>
      <c r="F13">
        <v>35760</v>
      </c>
      <c r="G13">
        <v>1028</v>
      </c>
    </row>
    <row r="14" spans="1:7" x14ac:dyDescent="0.3">
      <c r="A14" t="s">
        <v>7</v>
      </c>
      <c r="B14">
        <v>116</v>
      </c>
      <c r="C14">
        <v>23885</v>
      </c>
      <c r="D14">
        <v>10.8</v>
      </c>
      <c r="E14">
        <v>1.48</v>
      </c>
      <c r="F14">
        <v>6480</v>
      </c>
      <c r="G14">
        <v>560</v>
      </c>
    </row>
    <row r="15" spans="1:7" x14ac:dyDescent="0.3">
      <c r="A15" t="s">
        <v>7</v>
      </c>
      <c r="B15">
        <v>178</v>
      </c>
      <c r="C15">
        <v>54754</v>
      </c>
      <c r="D15">
        <v>13.3</v>
      </c>
      <c r="E15">
        <v>3.67</v>
      </c>
      <c r="F15">
        <v>7980</v>
      </c>
      <c r="G15">
        <v>422</v>
      </c>
    </row>
    <row r="16" spans="1:7" x14ac:dyDescent="0.3">
      <c r="A16" t="s">
        <v>7</v>
      </c>
      <c r="B16">
        <v>193</v>
      </c>
      <c r="C16">
        <v>56115</v>
      </c>
      <c r="D16">
        <v>13.9</v>
      </c>
      <c r="E16">
        <v>1.92</v>
      </c>
      <c r="F16">
        <v>8340</v>
      </c>
      <c r="G16">
        <v>835</v>
      </c>
    </row>
    <row r="17" spans="1:7" x14ac:dyDescent="0.3">
      <c r="A17" t="s">
        <v>8</v>
      </c>
      <c r="B17">
        <v>131</v>
      </c>
      <c r="C17">
        <v>33785</v>
      </c>
      <c r="D17">
        <v>11.4</v>
      </c>
      <c r="E17">
        <v>2.9</v>
      </c>
      <c r="F17">
        <v>13680</v>
      </c>
      <c r="G17">
        <v>374</v>
      </c>
    </row>
    <row r="18" spans="1:7" x14ac:dyDescent="0.3">
      <c r="A18" t="s">
        <v>8</v>
      </c>
      <c r="B18">
        <v>991</v>
      </c>
      <c r="C18">
        <v>677440</v>
      </c>
      <c r="D18">
        <v>31.5</v>
      </c>
      <c r="E18">
        <v>1.74</v>
      </c>
      <c r="F18">
        <v>37800</v>
      </c>
      <c r="G18">
        <v>1143</v>
      </c>
    </row>
    <row r="19" spans="1:7" x14ac:dyDescent="0.3">
      <c r="A19" t="s">
        <v>7</v>
      </c>
      <c r="B19">
        <v>193</v>
      </c>
      <c r="C19">
        <v>39141</v>
      </c>
      <c r="D19">
        <v>13.9</v>
      </c>
      <c r="E19">
        <v>1.95</v>
      </c>
      <c r="F19">
        <v>8340</v>
      </c>
      <c r="G19">
        <v>714</v>
      </c>
    </row>
    <row r="20" spans="1:7" x14ac:dyDescent="0.3">
      <c r="A20" t="s">
        <v>7</v>
      </c>
      <c r="B20">
        <v>222</v>
      </c>
      <c r="C20">
        <v>84242</v>
      </c>
      <c r="D20">
        <v>14.9</v>
      </c>
      <c r="E20">
        <v>1.86</v>
      </c>
      <c r="F20">
        <v>8940</v>
      </c>
      <c r="G20">
        <v>1109</v>
      </c>
    </row>
    <row r="21" spans="1:7" x14ac:dyDescent="0.3">
      <c r="A21" t="s">
        <v>7</v>
      </c>
      <c r="B21">
        <v>422</v>
      </c>
      <c r="C21">
        <v>188864</v>
      </c>
      <c r="D21">
        <v>20.6</v>
      </c>
      <c r="E21">
        <v>2.9</v>
      </c>
      <c r="F21">
        <v>12360</v>
      </c>
      <c r="G21">
        <v>857</v>
      </c>
    </row>
    <row r="22" spans="1:7" x14ac:dyDescent="0.3">
      <c r="A22" t="s">
        <v>9</v>
      </c>
      <c r="B22">
        <v>1812</v>
      </c>
      <c r="C22">
        <v>1461738</v>
      </c>
      <c r="D22">
        <v>42.5</v>
      </c>
      <c r="E22">
        <v>2.82</v>
      </c>
      <c r="F22">
        <v>93500</v>
      </c>
      <c r="G22">
        <v>1176</v>
      </c>
    </row>
    <row r="23" spans="1:7" x14ac:dyDescent="0.3">
      <c r="A23" t="s">
        <v>7</v>
      </c>
      <c r="B23">
        <v>350</v>
      </c>
      <c r="C23">
        <v>88290</v>
      </c>
      <c r="D23">
        <v>18.7</v>
      </c>
      <c r="E23">
        <v>2.94</v>
      </c>
      <c r="F23">
        <v>11220</v>
      </c>
      <c r="G23">
        <v>554</v>
      </c>
    </row>
    <row r="24" spans="1:7" x14ac:dyDescent="0.3">
      <c r="A24" t="s">
        <v>9</v>
      </c>
      <c r="B24">
        <v>1184</v>
      </c>
      <c r="C24">
        <v>780764</v>
      </c>
      <c r="D24">
        <v>34.200000000000003</v>
      </c>
      <c r="E24">
        <v>1.63</v>
      </c>
      <c r="F24">
        <v>75240</v>
      </c>
      <c r="G24">
        <v>1591</v>
      </c>
    </row>
    <row r="25" spans="1:7" x14ac:dyDescent="0.3">
      <c r="A25" t="s">
        <v>9</v>
      </c>
      <c r="B25">
        <v>119</v>
      </c>
      <c r="C25">
        <v>30948</v>
      </c>
      <c r="D25">
        <v>10.9</v>
      </c>
      <c r="E25">
        <v>4.97</v>
      </c>
      <c r="F25">
        <v>23980</v>
      </c>
      <c r="G25">
        <v>567</v>
      </c>
    </row>
    <row r="26" spans="1:7" x14ac:dyDescent="0.3">
      <c r="A26" t="s">
        <v>7</v>
      </c>
      <c r="B26">
        <v>505</v>
      </c>
      <c r="C26">
        <v>243034</v>
      </c>
      <c r="D26">
        <v>22.4</v>
      </c>
      <c r="E26">
        <v>3.46</v>
      </c>
      <c r="F26">
        <v>13440</v>
      </c>
      <c r="G26">
        <v>1150</v>
      </c>
    </row>
    <row r="27" spans="1:7" x14ac:dyDescent="0.3">
      <c r="A27" t="s">
        <v>8</v>
      </c>
      <c r="B27">
        <v>840</v>
      </c>
      <c r="C27">
        <v>466136</v>
      </c>
      <c r="D27">
        <v>29</v>
      </c>
      <c r="E27">
        <v>3.24</v>
      </c>
      <c r="F27">
        <v>34800</v>
      </c>
      <c r="G27">
        <v>887</v>
      </c>
    </row>
    <row r="28" spans="1:7" x14ac:dyDescent="0.3">
      <c r="A28" t="s">
        <v>9</v>
      </c>
      <c r="B28">
        <v>25</v>
      </c>
      <c r="C28">
        <v>3118</v>
      </c>
      <c r="D28">
        <v>5</v>
      </c>
      <c r="E28">
        <v>1.32</v>
      </c>
      <c r="F28">
        <v>11000</v>
      </c>
      <c r="G28">
        <v>718</v>
      </c>
    </row>
    <row r="29" spans="1:7" x14ac:dyDescent="0.3">
      <c r="A29" t="s">
        <v>7</v>
      </c>
      <c r="B29">
        <v>551</v>
      </c>
      <c r="C29">
        <v>228852</v>
      </c>
      <c r="D29">
        <v>23.4</v>
      </c>
      <c r="E29">
        <v>1.23</v>
      </c>
      <c r="F29">
        <v>14040</v>
      </c>
      <c r="G29">
        <v>1082</v>
      </c>
    </row>
    <row r="30" spans="1:7" x14ac:dyDescent="0.3">
      <c r="A30" t="s">
        <v>9</v>
      </c>
      <c r="B30">
        <v>639</v>
      </c>
      <c r="C30">
        <v>210729</v>
      </c>
      <c r="D30">
        <v>25.3</v>
      </c>
      <c r="E30">
        <v>1.81</v>
      </c>
      <c r="F30">
        <v>55660</v>
      </c>
      <c r="G30">
        <v>596</v>
      </c>
    </row>
    <row r="31" spans="1:7" x14ac:dyDescent="0.3">
      <c r="A31" t="s">
        <v>7</v>
      </c>
      <c r="B31">
        <v>166</v>
      </c>
      <c r="C31">
        <v>44798</v>
      </c>
      <c r="D31">
        <v>12.9</v>
      </c>
      <c r="E31">
        <v>2.42</v>
      </c>
      <c r="F31">
        <v>7740</v>
      </c>
      <c r="G31">
        <v>1041</v>
      </c>
    </row>
    <row r="32" spans="1:7" x14ac:dyDescent="0.3">
      <c r="A32" t="s">
        <v>7</v>
      </c>
      <c r="B32">
        <v>114</v>
      </c>
      <c r="C32">
        <v>23542</v>
      </c>
      <c r="D32">
        <v>10.7</v>
      </c>
      <c r="E32">
        <v>2.65</v>
      </c>
      <c r="F32">
        <v>6420</v>
      </c>
      <c r="G32">
        <v>510</v>
      </c>
    </row>
    <row r="33" spans="1:7" x14ac:dyDescent="0.3">
      <c r="A33" t="s">
        <v>9</v>
      </c>
      <c r="B33">
        <v>352</v>
      </c>
      <c r="C33">
        <v>157817</v>
      </c>
      <c r="D33">
        <v>18.7</v>
      </c>
      <c r="E33">
        <v>2.63</v>
      </c>
      <c r="F33">
        <v>41140</v>
      </c>
      <c r="G33">
        <v>1072</v>
      </c>
    </row>
    <row r="34" spans="1:7" x14ac:dyDescent="0.3">
      <c r="A34" t="s">
        <v>7</v>
      </c>
      <c r="B34">
        <v>370</v>
      </c>
      <c r="C34">
        <v>161608</v>
      </c>
      <c r="D34">
        <v>19.2</v>
      </c>
      <c r="E34">
        <v>2.35</v>
      </c>
      <c r="F34">
        <v>11520</v>
      </c>
      <c r="G34">
        <v>1180</v>
      </c>
    </row>
    <row r="35" spans="1:7" x14ac:dyDescent="0.3">
      <c r="A35" t="s">
        <v>9</v>
      </c>
      <c r="B35">
        <v>377</v>
      </c>
      <c r="C35">
        <v>154201</v>
      </c>
      <c r="D35">
        <v>19.399999999999999</v>
      </c>
      <c r="E35">
        <v>4.6100000000000003</v>
      </c>
      <c r="F35">
        <v>42680</v>
      </c>
      <c r="G35">
        <v>1123</v>
      </c>
    </row>
    <row r="36" spans="1:7" x14ac:dyDescent="0.3">
      <c r="A36" t="s">
        <v>7</v>
      </c>
      <c r="B36">
        <v>502</v>
      </c>
      <c r="C36">
        <v>277489</v>
      </c>
      <c r="D36">
        <v>22.4</v>
      </c>
      <c r="E36">
        <v>4.78</v>
      </c>
      <c r="F36">
        <v>13440</v>
      </c>
      <c r="G36">
        <v>1029</v>
      </c>
    </row>
    <row r="37" spans="1:7" x14ac:dyDescent="0.3">
      <c r="A37" t="s">
        <v>7</v>
      </c>
      <c r="B37">
        <v>655</v>
      </c>
      <c r="C37">
        <v>296560</v>
      </c>
      <c r="D37">
        <v>25.6</v>
      </c>
      <c r="E37">
        <v>4</v>
      </c>
      <c r="F37">
        <v>15360</v>
      </c>
      <c r="G37">
        <v>1150</v>
      </c>
    </row>
    <row r="38" spans="1:7" x14ac:dyDescent="0.3">
      <c r="A38" t="s">
        <v>8</v>
      </c>
      <c r="B38">
        <v>236</v>
      </c>
      <c r="C38">
        <v>60199</v>
      </c>
      <c r="D38">
        <v>15.4</v>
      </c>
      <c r="E38">
        <v>3.88</v>
      </c>
      <c r="F38">
        <v>18480</v>
      </c>
      <c r="G38">
        <v>722</v>
      </c>
    </row>
    <row r="39" spans="1:7" x14ac:dyDescent="0.3">
      <c r="A39" t="s">
        <v>7</v>
      </c>
      <c r="B39">
        <v>190</v>
      </c>
      <c r="C39">
        <v>72346</v>
      </c>
      <c r="D39">
        <v>13.8</v>
      </c>
      <c r="E39">
        <v>2.66</v>
      </c>
      <c r="F39">
        <v>8280</v>
      </c>
      <c r="G39">
        <v>996</v>
      </c>
    </row>
    <row r="40" spans="1:7" x14ac:dyDescent="0.3">
      <c r="A40" t="s">
        <v>7</v>
      </c>
      <c r="B40">
        <v>196</v>
      </c>
      <c r="C40">
        <v>45612</v>
      </c>
      <c r="D40">
        <v>14</v>
      </c>
      <c r="E40">
        <v>3.79</v>
      </c>
      <c r="F40">
        <v>8400</v>
      </c>
      <c r="G40">
        <v>1130</v>
      </c>
    </row>
    <row r="41" spans="1:7" x14ac:dyDescent="0.3">
      <c r="A41" t="s">
        <v>7</v>
      </c>
      <c r="B41">
        <v>852</v>
      </c>
      <c r="C41">
        <v>616022</v>
      </c>
      <c r="D41">
        <v>29.2</v>
      </c>
      <c r="E41">
        <v>4.83</v>
      </c>
      <c r="F41">
        <v>17520</v>
      </c>
      <c r="G41">
        <v>1112</v>
      </c>
    </row>
    <row r="42" spans="1:7" x14ac:dyDescent="0.3">
      <c r="A42" t="s">
        <v>9</v>
      </c>
      <c r="B42">
        <v>904</v>
      </c>
      <c r="C42">
        <v>388439</v>
      </c>
      <c r="D42">
        <v>30.1</v>
      </c>
      <c r="E42">
        <v>4.51</v>
      </c>
      <c r="F42">
        <v>66220</v>
      </c>
      <c r="G42">
        <v>1191</v>
      </c>
    </row>
    <row r="43" spans="1:7" x14ac:dyDescent="0.3">
      <c r="A43" t="s">
        <v>8</v>
      </c>
      <c r="B43">
        <v>464</v>
      </c>
      <c r="C43">
        <v>229290</v>
      </c>
      <c r="D43">
        <v>21.5</v>
      </c>
      <c r="E43">
        <v>1.67</v>
      </c>
      <c r="F43">
        <v>25800</v>
      </c>
      <c r="G43">
        <v>725</v>
      </c>
    </row>
    <row r="44" spans="1:7" x14ac:dyDescent="0.3">
      <c r="A44" t="s">
        <v>9</v>
      </c>
      <c r="B44">
        <v>83</v>
      </c>
      <c r="C44">
        <v>13059</v>
      </c>
      <c r="D44">
        <v>9.1</v>
      </c>
      <c r="E44">
        <v>2.5499999999999998</v>
      </c>
      <c r="F44">
        <v>20020</v>
      </c>
      <c r="G44">
        <v>607</v>
      </c>
    </row>
    <row r="45" spans="1:7" x14ac:dyDescent="0.3">
      <c r="A45" t="s">
        <v>7</v>
      </c>
      <c r="B45">
        <v>462</v>
      </c>
      <c r="C45">
        <v>232487</v>
      </c>
      <c r="D45">
        <v>21.5</v>
      </c>
      <c r="E45">
        <v>1.75</v>
      </c>
      <c r="F45">
        <v>12900</v>
      </c>
      <c r="G45">
        <v>1030</v>
      </c>
    </row>
    <row r="46" spans="1:7" x14ac:dyDescent="0.3">
      <c r="A46" t="s">
        <v>8</v>
      </c>
      <c r="B46">
        <v>16</v>
      </c>
      <c r="C46">
        <v>1304</v>
      </c>
      <c r="D46">
        <v>4</v>
      </c>
      <c r="E46">
        <v>4.83</v>
      </c>
      <c r="F46">
        <v>4800</v>
      </c>
      <c r="G46">
        <v>611</v>
      </c>
    </row>
    <row r="47" spans="1:7" x14ac:dyDescent="0.3">
      <c r="A47" t="s">
        <v>7</v>
      </c>
      <c r="B47">
        <v>56</v>
      </c>
      <c r="C47">
        <v>9081</v>
      </c>
      <c r="D47">
        <v>7.5</v>
      </c>
      <c r="E47">
        <v>2.48</v>
      </c>
      <c r="F47">
        <v>4500</v>
      </c>
      <c r="G47">
        <v>1217</v>
      </c>
    </row>
    <row r="48" spans="1:7" x14ac:dyDescent="0.3">
      <c r="A48" t="s">
        <v>7</v>
      </c>
      <c r="B48">
        <v>138</v>
      </c>
      <c r="C48">
        <v>31346</v>
      </c>
      <c r="D48">
        <v>11.8</v>
      </c>
      <c r="E48">
        <v>4.25</v>
      </c>
      <c r="F48">
        <v>7080</v>
      </c>
      <c r="G48">
        <v>996</v>
      </c>
    </row>
    <row r="49" spans="1:7" x14ac:dyDescent="0.3">
      <c r="A49" t="s">
        <v>8</v>
      </c>
      <c r="B49">
        <v>584</v>
      </c>
      <c r="C49">
        <v>418736</v>
      </c>
      <c r="D49">
        <v>24.2</v>
      </c>
      <c r="E49">
        <v>4.87</v>
      </c>
      <c r="F49">
        <v>29040</v>
      </c>
      <c r="G49">
        <v>1043</v>
      </c>
    </row>
    <row r="50" spans="1:7" x14ac:dyDescent="0.3">
      <c r="A50" t="s">
        <v>8</v>
      </c>
      <c r="B50">
        <v>738</v>
      </c>
      <c r="C50">
        <v>454207</v>
      </c>
      <c r="D50">
        <v>27.2</v>
      </c>
      <c r="E50">
        <v>2.74</v>
      </c>
      <c r="F50">
        <v>32640</v>
      </c>
      <c r="G50">
        <v>1512</v>
      </c>
    </row>
    <row r="51" spans="1:7" x14ac:dyDescent="0.3">
      <c r="A51" t="s">
        <v>8</v>
      </c>
      <c r="B51">
        <v>453</v>
      </c>
      <c r="C51">
        <v>204688</v>
      </c>
      <c r="D51">
        <v>21.2</v>
      </c>
      <c r="E51">
        <v>3.32</v>
      </c>
      <c r="F51">
        <v>25440</v>
      </c>
      <c r="G51">
        <v>1145</v>
      </c>
    </row>
    <row r="52" spans="1:7" x14ac:dyDescent="0.3">
      <c r="A52" t="s">
        <v>7</v>
      </c>
      <c r="B52">
        <v>2</v>
      </c>
      <c r="C52">
        <v>60</v>
      </c>
      <c r="D52">
        <v>1.4</v>
      </c>
      <c r="E52">
        <v>3.63</v>
      </c>
      <c r="F52">
        <v>840</v>
      </c>
      <c r="G52">
        <v>374</v>
      </c>
    </row>
    <row r="53" spans="1:7" x14ac:dyDescent="0.3">
      <c r="A53" t="s">
        <v>7</v>
      </c>
      <c r="B53">
        <v>796</v>
      </c>
      <c r="C53">
        <v>415706</v>
      </c>
      <c r="D53">
        <v>28.3</v>
      </c>
      <c r="E53">
        <v>1.22</v>
      </c>
      <c r="F53">
        <v>16980</v>
      </c>
      <c r="G53">
        <v>837</v>
      </c>
    </row>
    <row r="54" spans="1:7" x14ac:dyDescent="0.3">
      <c r="A54" t="s">
        <v>7</v>
      </c>
      <c r="B54">
        <v>461</v>
      </c>
      <c r="C54">
        <v>202632</v>
      </c>
      <c r="D54">
        <v>21.4</v>
      </c>
      <c r="E54">
        <v>3</v>
      </c>
      <c r="F54">
        <v>12840</v>
      </c>
      <c r="G54">
        <v>1299</v>
      </c>
    </row>
    <row r="55" spans="1:7" x14ac:dyDescent="0.3">
      <c r="A55" t="s">
        <v>9</v>
      </c>
      <c r="B55">
        <v>1466</v>
      </c>
      <c r="C55">
        <v>1064771</v>
      </c>
      <c r="D55">
        <v>38.299999999999997</v>
      </c>
      <c r="E55">
        <v>1.5</v>
      </c>
      <c r="F55">
        <v>84260</v>
      </c>
      <c r="G55">
        <v>1410</v>
      </c>
    </row>
    <row r="56" spans="1:7" x14ac:dyDescent="0.3">
      <c r="A56" t="s">
        <v>8</v>
      </c>
      <c r="B56">
        <v>395</v>
      </c>
      <c r="C56">
        <v>143719</v>
      </c>
      <c r="D56">
        <v>19.899999999999999</v>
      </c>
      <c r="E56">
        <v>2.87</v>
      </c>
      <c r="F56">
        <v>23880</v>
      </c>
      <c r="G56">
        <v>899</v>
      </c>
    </row>
    <row r="57" spans="1:7" x14ac:dyDescent="0.3">
      <c r="A57" t="s">
        <v>8</v>
      </c>
      <c r="B57">
        <v>114</v>
      </c>
      <c r="C57">
        <v>26710</v>
      </c>
      <c r="D57">
        <v>10.7</v>
      </c>
      <c r="E57">
        <v>4.84</v>
      </c>
      <c r="F57">
        <v>12840</v>
      </c>
      <c r="G57">
        <v>687</v>
      </c>
    </row>
    <row r="58" spans="1:7" x14ac:dyDescent="0.3">
      <c r="A58" t="s">
        <v>9</v>
      </c>
      <c r="B58">
        <v>1497</v>
      </c>
      <c r="C58">
        <v>1208358</v>
      </c>
      <c r="D58">
        <v>38.6</v>
      </c>
      <c r="E58">
        <v>4.99</v>
      </c>
      <c r="F58">
        <v>84920</v>
      </c>
      <c r="G58">
        <v>1592</v>
      </c>
    </row>
    <row r="59" spans="1:7" x14ac:dyDescent="0.3">
      <c r="A59" t="s">
        <v>9</v>
      </c>
      <c r="B59">
        <v>507</v>
      </c>
      <c r="C59">
        <v>252974</v>
      </c>
      <c r="D59">
        <v>22.5</v>
      </c>
      <c r="E59">
        <v>2.38</v>
      </c>
      <c r="F59">
        <v>49500</v>
      </c>
      <c r="G59">
        <v>1184</v>
      </c>
    </row>
    <row r="60" spans="1:7" x14ac:dyDescent="0.3">
      <c r="A60" t="s">
        <v>8</v>
      </c>
      <c r="B60">
        <v>613</v>
      </c>
      <c r="C60">
        <v>266416</v>
      </c>
      <c r="D60">
        <v>24.7</v>
      </c>
      <c r="E60">
        <v>1.22</v>
      </c>
      <c r="F60">
        <v>29640</v>
      </c>
      <c r="G60">
        <v>918</v>
      </c>
    </row>
    <row r="61" spans="1:7" x14ac:dyDescent="0.3">
      <c r="A61" t="s">
        <v>7</v>
      </c>
      <c r="B61">
        <v>69</v>
      </c>
      <c r="C61">
        <v>9528</v>
      </c>
      <c r="D61">
        <v>8.3000000000000007</v>
      </c>
      <c r="E61">
        <v>4.12</v>
      </c>
      <c r="F61">
        <v>4980</v>
      </c>
      <c r="G61">
        <v>817</v>
      </c>
    </row>
    <row r="62" spans="1:7" x14ac:dyDescent="0.3">
      <c r="A62" t="s">
        <v>7</v>
      </c>
      <c r="B62">
        <v>169</v>
      </c>
      <c r="C62">
        <v>38508</v>
      </c>
      <c r="D62">
        <v>13</v>
      </c>
      <c r="E62">
        <v>2.64</v>
      </c>
      <c r="F62">
        <v>7800</v>
      </c>
      <c r="G62">
        <v>1129</v>
      </c>
    </row>
    <row r="63" spans="1:7" x14ac:dyDescent="0.3">
      <c r="A63" t="s">
        <v>8</v>
      </c>
      <c r="B63">
        <v>76</v>
      </c>
      <c r="C63">
        <v>12620</v>
      </c>
      <c r="D63">
        <v>8.6999999999999993</v>
      </c>
      <c r="E63">
        <v>2.36</v>
      </c>
      <c r="F63">
        <v>10440</v>
      </c>
      <c r="G63">
        <v>852</v>
      </c>
    </row>
    <row r="64" spans="1:7" x14ac:dyDescent="0.3">
      <c r="A64" t="s">
        <v>7</v>
      </c>
      <c r="B64">
        <v>371</v>
      </c>
      <c r="C64">
        <v>114406</v>
      </c>
      <c r="D64">
        <v>19.3</v>
      </c>
      <c r="E64">
        <v>2.95</v>
      </c>
      <c r="F64">
        <v>11580</v>
      </c>
      <c r="G64">
        <v>1200</v>
      </c>
    </row>
    <row r="65" spans="1:7" x14ac:dyDescent="0.3">
      <c r="A65" t="s">
        <v>7</v>
      </c>
      <c r="B65">
        <v>28</v>
      </c>
      <c r="C65">
        <v>2140</v>
      </c>
      <c r="D65">
        <v>5.3</v>
      </c>
      <c r="E65">
        <v>4.8</v>
      </c>
      <c r="F65">
        <v>3180</v>
      </c>
      <c r="G65">
        <v>390</v>
      </c>
    </row>
    <row r="66" spans="1:7" x14ac:dyDescent="0.3">
      <c r="A66" t="s">
        <v>7</v>
      </c>
      <c r="B66">
        <v>34</v>
      </c>
      <c r="C66">
        <v>5143</v>
      </c>
      <c r="D66">
        <v>5.8</v>
      </c>
      <c r="E66">
        <v>1.44</v>
      </c>
      <c r="F66">
        <v>3480</v>
      </c>
      <c r="G66">
        <v>625</v>
      </c>
    </row>
    <row r="67" spans="1:7" x14ac:dyDescent="0.3">
      <c r="A67" t="s">
        <v>9</v>
      </c>
      <c r="B67">
        <v>61</v>
      </c>
      <c r="C67">
        <v>9076</v>
      </c>
      <c r="D67">
        <v>7.8</v>
      </c>
      <c r="E67">
        <v>2.14</v>
      </c>
      <c r="F67">
        <v>17160</v>
      </c>
      <c r="G67">
        <v>696</v>
      </c>
    </row>
    <row r="68" spans="1:7" x14ac:dyDescent="0.3">
      <c r="A68" t="s">
        <v>9</v>
      </c>
      <c r="B68">
        <v>3345</v>
      </c>
      <c r="C68">
        <v>3760660</v>
      </c>
      <c r="D68">
        <v>57.8</v>
      </c>
      <c r="E68">
        <v>3.95</v>
      </c>
      <c r="F68">
        <v>127160</v>
      </c>
      <c r="G68">
        <v>2358</v>
      </c>
    </row>
    <row r="69" spans="1:7" x14ac:dyDescent="0.3">
      <c r="A69" t="s">
        <v>9</v>
      </c>
      <c r="B69">
        <v>1231</v>
      </c>
      <c r="C69">
        <v>529768</v>
      </c>
      <c r="D69">
        <v>35.299999999999997</v>
      </c>
      <c r="E69">
        <v>2.67</v>
      </c>
      <c r="F69">
        <v>77660</v>
      </c>
      <c r="G69">
        <v>1456</v>
      </c>
    </row>
    <row r="70" spans="1:7" x14ac:dyDescent="0.3">
      <c r="A70" t="s">
        <v>8</v>
      </c>
      <c r="B70">
        <v>305</v>
      </c>
      <c r="C70">
        <v>130197</v>
      </c>
      <c r="D70">
        <v>17.5</v>
      </c>
      <c r="E70">
        <v>1.53</v>
      </c>
      <c r="F70">
        <v>21000</v>
      </c>
      <c r="G70">
        <v>1038</v>
      </c>
    </row>
    <row r="71" spans="1:7" x14ac:dyDescent="0.3">
      <c r="A71" t="s">
        <v>8</v>
      </c>
      <c r="B71">
        <v>242</v>
      </c>
      <c r="C71">
        <v>66582</v>
      </c>
      <c r="D71">
        <v>15.6</v>
      </c>
      <c r="E71">
        <v>4.38</v>
      </c>
      <c r="F71">
        <v>18720</v>
      </c>
      <c r="G71">
        <v>1222</v>
      </c>
    </row>
    <row r="72" spans="1:7" x14ac:dyDescent="0.3">
      <c r="A72" t="s">
        <v>8</v>
      </c>
      <c r="B72">
        <v>681</v>
      </c>
      <c r="C72">
        <v>353442</v>
      </c>
      <c r="D72">
        <v>26.1</v>
      </c>
      <c r="E72">
        <v>2.65</v>
      </c>
      <c r="F72">
        <v>31320</v>
      </c>
      <c r="G72">
        <v>1020</v>
      </c>
    </row>
    <row r="73" spans="1:7" x14ac:dyDescent="0.3">
      <c r="A73" t="s">
        <v>9</v>
      </c>
      <c r="B73">
        <v>975</v>
      </c>
      <c r="C73">
        <v>637155</v>
      </c>
      <c r="D73">
        <v>31.2</v>
      </c>
      <c r="E73">
        <v>3.86</v>
      </c>
      <c r="F73">
        <v>68640</v>
      </c>
      <c r="G73">
        <v>1401</v>
      </c>
    </row>
    <row r="74" spans="1:7" x14ac:dyDescent="0.3">
      <c r="A74" t="s">
        <v>7</v>
      </c>
      <c r="B74">
        <v>44</v>
      </c>
      <c r="C74">
        <v>8310</v>
      </c>
      <c r="D74">
        <v>6.6</v>
      </c>
      <c r="E74">
        <v>2.2799999999999998</v>
      </c>
      <c r="F74">
        <v>3960</v>
      </c>
      <c r="G74">
        <v>881</v>
      </c>
    </row>
    <row r="75" spans="1:7" x14ac:dyDescent="0.3">
      <c r="A75" t="s">
        <v>7</v>
      </c>
      <c r="B75">
        <v>46</v>
      </c>
      <c r="C75">
        <v>6414</v>
      </c>
      <c r="D75">
        <v>6.8</v>
      </c>
      <c r="E75">
        <v>3.52</v>
      </c>
      <c r="F75">
        <v>4080</v>
      </c>
      <c r="G75">
        <v>679</v>
      </c>
    </row>
    <row r="76" spans="1:7" x14ac:dyDescent="0.3">
      <c r="A76" t="s">
        <v>8</v>
      </c>
      <c r="B76">
        <v>264</v>
      </c>
      <c r="C76">
        <v>87763</v>
      </c>
      <c r="D76">
        <v>16.3</v>
      </c>
      <c r="E76">
        <v>4.3099999999999996</v>
      </c>
      <c r="F76">
        <v>19560</v>
      </c>
      <c r="G76">
        <v>886</v>
      </c>
    </row>
    <row r="77" spans="1:7" x14ac:dyDescent="0.3">
      <c r="A77" t="s">
        <v>9</v>
      </c>
      <c r="B77">
        <v>740</v>
      </c>
      <c r="C77">
        <v>346727</v>
      </c>
      <c r="D77">
        <v>27.2</v>
      </c>
      <c r="E77">
        <v>4.8899999999999997</v>
      </c>
      <c r="F77">
        <v>59840</v>
      </c>
      <c r="G77">
        <v>841</v>
      </c>
    </row>
    <row r="78" spans="1:7" x14ac:dyDescent="0.3">
      <c r="A78" t="s">
        <v>7</v>
      </c>
      <c r="B78">
        <v>392</v>
      </c>
      <c r="C78">
        <v>164517</v>
      </c>
      <c r="D78">
        <v>19.8</v>
      </c>
      <c r="E78">
        <v>2.36</v>
      </c>
      <c r="F78">
        <v>11880</v>
      </c>
      <c r="G78">
        <v>470</v>
      </c>
    </row>
    <row r="79" spans="1:7" x14ac:dyDescent="0.3">
      <c r="A79" t="s">
        <v>7</v>
      </c>
      <c r="B79">
        <v>345</v>
      </c>
      <c r="C79">
        <v>122834</v>
      </c>
      <c r="D79">
        <v>18.600000000000001</v>
      </c>
      <c r="E79">
        <v>2.04</v>
      </c>
      <c r="F79">
        <v>11160</v>
      </c>
      <c r="G79">
        <v>883</v>
      </c>
    </row>
    <row r="80" spans="1:7" x14ac:dyDescent="0.3">
      <c r="A80" t="s">
        <v>7</v>
      </c>
      <c r="B80">
        <v>981</v>
      </c>
      <c r="C80">
        <v>716325</v>
      </c>
      <c r="D80">
        <v>31.4</v>
      </c>
      <c r="E80">
        <v>3.29</v>
      </c>
      <c r="F80">
        <v>18840</v>
      </c>
      <c r="G80">
        <v>1290</v>
      </c>
    </row>
    <row r="81" spans="1:7" x14ac:dyDescent="0.3">
      <c r="A81" t="s">
        <v>7</v>
      </c>
      <c r="B81">
        <v>558</v>
      </c>
      <c r="C81">
        <v>292882</v>
      </c>
      <c r="D81">
        <v>23.7</v>
      </c>
      <c r="E81">
        <v>3.53</v>
      </c>
      <c r="F81">
        <v>14220</v>
      </c>
      <c r="G81">
        <v>1427</v>
      </c>
    </row>
    <row r="82" spans="1:7" x14ac:dyDescent="0.3">
      <c r="A82" t="s">
        <v>7</v>
      </c>
      <c r="B82">
        <v>248</v>
      </c>
      <c r="C82">
        <v>80132</v>
      </c>
      <c r="D82">
        <v>15.7</v>
      </c>
      <c r="E82">
        <v>2.69</v>
      </c>
      <c r="F82">
        <v>9420</v>
      </c>
      <c r="G82">
        <v>696</v>
      </c>
    </row>
    <row r="83" spans="1:7" x14ac:dyDescent="0.3">
      <c r="A83" t="s">
        <v>7</v>
      </c>
      <c r="B83">
        <v>10</v>
      </c>
      <c r="C83">
        <v>555</v>
      </c>
      <c r="D83">
        <v>3.2</v>
      </c>
      <c r="E83">
        <v>1.96</v>
      </c>
      <c r="F83">
        <v>1920</v>
      </c>
      <c r="G83">
        <v>297</v>
      </c>
    </row>
    <row r="84" spans="1:7" x14ac:dyDescent="0.3">
      <c r="A84" t="s">
        <v>7</v>
      </c>
      <c r="B84">
        <v>209</v>
      </c>
      <c r="C84">
        <v>79986</v>
      </c>
      <c r="D84">
        <v>14.5</v>
      </c>
      <c r="E84">
        <v>2.95</v>
      </c>
      <c r="F84">
        <v>8700</v>
      </c>
      <c r="G84">
        <v>813</v>
      </c>
    </row>
    <row r="85" spans="1:7" x14ac:dyDescent="0.3">
      <c r="A85" t="s">
        <v>8</v>
      </c>
      <c r="B85">
        <v>567</v>
      </c>
      <c r="C85">
        <v>283712</v>
      </c>
      <c r="D85">
        <v>23.8</v>
      </c>
      <c r="E85">
        <v>4.07</v>
      </c>
      <c r="F85">
        <v>28560</v>
      </c>
      <c r="G85">
        <v>874</v>
      </c>
    </row>
    <row r="86" spans="1:7" x14ac:dyDescent="0.3">
      <c r="A86" t="s">
        <v>8</v>
      </c>
      <c r="B86">
        <v>614</v>
      </c>
      <c r="C86">
        <v>425149</v>
      </c>
      <c r="D86">
        <v>24.8</v>
      </c>
      <c r="E86">
        <v>1.84</v>
      </c>
      <c r="F86">
        <v>29760</v>
      </c>
      <c r="G86">
        <v>1226</v>
      </c>
    </row>
    <row r="87" spans="1:7" x14ac:dyDescent="0.3">
      <c r="A87" t="s">
        <v>8</v>
      </c>
      <c r="B87">
        <v>11</v>
      </c>
      <c r="C87">
        <v>758</v>
      </c>
      <c r="D87">
        <v>3.3</v>
      </c>
      <c r="E87">
        <v>1.33</v>
      </c>
      <c r="F87">
        <v>3960</v>
      </c>
      <c r="G87">
        <v>453</v>
      </c>
    </row>
    <row r="88" spans="1:7" x14ac:dyDescent="0.3">
      <c r="A88" t="s">
        <v>8</v>
      </c>
      <c r="B88">
        <v>123</v>
      </c>
      <c r="C88">
        <v>22471</v>
      </c>
      <c r="D88">
        <v>11.1</v>
      </c>
      <c r="E88">
        <v>3.14</v>
      </c>
      <c r="F88">
        <v>13320</v>
      </c>
      <c r="G88">
        <v>359</v>
      </c>
    </row>
    <row r="89" spans="1:7" x14ac:dyDescent="0.3">
      <c r="A89" t="s">
        <v>9</v>
      </c>
      <c r="B89">
        <v>1536</v>
      </c>
      <c r="C89">
        <v>1086636</v>
      </c>
      <c r="D89">
        <v>39.200000000000003</v>
      </c>
      <c r="E89">
        <v>2.2400000000000002</v>
      </c>
      <c r="F89">
        <v>86240</v>
      </c>
      <c r="G89">
        <v>1304</v>
      </c>
    </row>
    <row r="90" spans="1:7" x14ac:dyDescent="0.3">
      <c r="A90" t="s">
        <v>8</v>
      </c>
      <c r="B90">
        <v>192</v>
      </c>
      <c r="C90">
        <v>56896</v>
      </c>
      <c r="D90">
        <v>13.8</v>
      </c>
      <c r="E90">
        <v>4.41</v>
      </c>
      <c r="F90">
        <v>16560</v>
      </c>
      <c r="G90">
        <v>905</v>
      </c>
    </row>
    <row r="91" spans="1:7" x14ac:dyDescent="0.3">
      <c r="A91" t="s">
        <v>8</v>
      </c>
      <c r="B91">
        <v>550</v>
      </c>
      <c r="C91">
        <v>346927</v>
      </c>
      <c r="D91">
        <v>23.4</v>
      </c>
      <c r="E91">
        <v>1.87</v>
      </c>
      <c r="F91">
        <v>28080</v>
      </c>
      <c r="G91">
        <v>1418</v>
      </c>
    </row>
    <row r="92" spans="1:7" x14ac:dyDescent="0.3">
      <c r="A92" t="s">
        <v>9</v>
      </c>
      <c r="B92">
        <v>968</v>
      </c>
      <c r="C92">
        <v>701173</v>
      </c>
      <c r="D92">
        <v>31.1</v>
      </c>
      <c r="E92">
        <v>2.46</v>
      </c>
      <c r="F92">
        <v>68420</v>
      </c>
      <c r="G92">
        <v>1309</v>
      </c>
    </row>
    <row r="93" spans="1:7" x14ac:dyDescent="0.3">
      <c r="A93" t="s">
        <v>7</v>
      </c>
      <c r="B93">
        <v>302</v>
      </c>
      <c r="C93">
        <v>87084</v>
      </c>
      <c r="D93">
        <v>17.399999999999999</v>
      </c>
      <c r="E93">
        <v>3.69</v>
      </c>
      <c r="F93">
        <v>10440</v>
      </c>
      <c r="G93">
        <v>321</v>
      </c>
    </row>
    <row r="94" spans="1:7" x14ac:dyDescent="0.3">
      <c r="A94" t="s">
        <v>9</v>
      </c>
      <c r="B94">
        <v>151</v>
      </c>
      <c r="C94">
        <v>36939</v>
      </c>
      <c r="D94">
        <v>12.3</v>
      </c>
      <c r="E94">
        <v>2.65</v>
      </c>
      <c r="F94">
        <v>27060</v>
      </c>
      <c r="G94">
        <v>975</v>
      </c>
    </row>
    <row r="95" spans="1:7" x14ac:dyDescent="0.3">
      <c r="A95" t="s">
        <v>8</v>
      </c>
      <c r="B95">
        <v>146</v>
      </c>
      <c r="C95">
        <v>29459</v>
      </c>
      <c r="D95">
        <v>12.1</v>
      </c>
      <c r="E95">
        <v>4.04</v>
      </c>
      <c r="F95">
        <v>14520</v>
      </c>
      <c r="G95">
        <v>847</v>
      </c>
    </row>
    <row r="96" spans="1:7" x14ac:dyDescent="0.3">
      <c r="A96" t="s">
        <v>8</v>
      </c>
      <c r="B96">
        <v>150</v>
      </c>
      <c r="C96">
        <v>34616</v>
      </c>
      <c r="D96">
        <v>12.2</v>
      </c>
      <c r="E96">
        <v>1.88</v>
      </c>
      <c r="F96">
        <v>14640</v>
      </c>
      <c r="G96">
        <v>750</v>
      </c>
    </row>
    <row r="97" spans="1:7" x14ac:dyDescent="0.3">
      <c r="A97" t="s">
        <v>9</v>
      </c>
      <c r="B97">
        <v>974</v>
      </c>
      <c r="C97">
        <v>528023</v>
      </c>
      <c r="D97">
        <v>31.3</v>
      </c>
      <c r="E97">
        <v>4.6900000000000004</v>
      </c>
      <c r="F97">
        <v>68860</v>
      </c>
      <c r="G97">
        <v>973</v>
      </c>
    </row>
    <row r="98" spans="1:7" x14ac:dyDescent="0.3">
      <c r="A98" t="s">
        <v>9</v>
      </c>
      <c r="B98">
        <v>1383</v>
      </c>
      <c r="C98">
        <v>1057702</v>
      </c>
      <c r="D98">
        <v>37.200000000000003</v>
      </c>
      <c r="E98">
        <v>3.4</v>
      </c>
      <c r="F98">
        <v>81840</v>
      </c>
      <c r="G98">
        <v>1035</v>
      </c>
    </row>
    <row r="99" spans="1:7" x14ac:dyDescent="0.3">
      <c r="A99" t="s">
        <v>9</v>
      </c>
      <c r="B99">
        <v>146</v>
      </c>
      <c r="C99">
        <v>30740</v>
      </c>
      <c r="D99">
        <v>12.1</v>
      </c>
      <c r="E99">
        <v>2.61</v>
      </c>
      <c r="F99">
        <v>26620</v>
      </c>
      <c r="G99">
        <v>1146</v>
      </c>
    </row>
    <row r="100" spans="1:7" x14ac:dyDescent="0.3">
      <c r="A100" t="s">
        <v>8</v>
      </c>
      <c r="B100">
        <v>107</v>
      </c>
      <c r="C100">
        <v>21319</v>
      </c>
      <c r="D100">
        <v>10.4</v>
      </c>
      <c r="E100">
        <v>4.3600000000000003</v>
      </c>
      <c r="F100">
        <v>12480</v>
      </c>
      <c r="G100">
        <v>702</v>
      </c>
    </row>
    <row r="101" spans="1:7" x14ac:dyDescent="0.3">
      <c r="A101" t="s">
        <v>9</v>
      </c>
      <c r="B101">
        <v>4</v>
      </c>
      <c r="C101">
        <v>137</v>
      </c>
      <c r="D101">
        <v>2</v>
      </c>
      <c r="E101">
        <v>4.29</v>
      </c>
      <c r="F101">
        <v>4400</v>
      </c>
      <c r="G101">
        <v>483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AA40-1C80-4A31-9793-899DDB69C1F3}">
  <dimension ref="A1:O101"/>
  <sheetViews>
    <sheetView workbookViewId="0">
      <selection activeCell="K23" sqref="K23"/>
    </sheetView>
  </sheetViews>
  <sheetFormatPr defaultRowHeight="14.4" x14ac:dyDescent="0.3"/>
  <cols>
    <col min="14" max="14" width="11" bestFit="1" customWidth="1"/>
  </cols>
  <sheetData>
    <row r="1" spans="1:15" x14ac:dyDescent="0.3">
      <c r="A1" t="s">
        <v>1</v>
      </c>
      <c r="B1" t="s">
        <v>6</v>
      </c>
      <c r="C1" t="s">
        <v>17</v>
      </c>
      <c r="D1" t="s">
        <v>24</v>
      </c>
      <c r="E1" t="s">
        <v>31</v>
      </c>
      <c r="F1" t="s">
        <v>18</v>
      </c>
      <c r="G1" t="s">
        <v>32</v>
      </c>
      <c r="J1" t="s">
        <v>11</v>
      </c>
    </row>
    <row r="2" spans="1:15" x14ac:dyDescent="0.3">
      <c r="A2">
        <v>229</v>
      </c>
      <c r="B2">
        <v>1176</v>
      </c>
      <c r="C2">
        <f>722.8318+PRODUCT(0.349343,A2)</f>
        <v>802.83134700000005</v>
      </c>
      <c r="D2">
        <f>B2-C2</f>
        <v>373.16865299999995</v>
      </c>
      <c r="E2">
        <f>PRODUCT(D2,D2)</f>
        <v>139254.84358183437</v>
      </c>
      <c r="F2">
        <f>B2-922.68</f>
        <v>253.32000000000005</v>
      </c>
      <c r="G2">
        <f>PRODUCT(F2,F2)</f>
        <v>64171.022400000023</v>
      </c>
      <c r="J2">
        <v>922.68</v>
      </c>
    </row>
    <row r="3" spans="1:15" x14ac:dyDescent="0.3">
      <c r="A3">
        <v>196</v>
      </c>
      <c r="B3">
        <v>663</v>
      </c>
      <c r="C3">
        <f t="shared" ref="C3:C66" si="0">722.8318+PRODUCT(0.349343,A3)</f>
        <v>791.30302800000004</v>
      </c>
      <c r="D3">
        <f t="shared" ref="D3:D66" si="1">B3-C3</f>
        <v>-128.30302800000004</v>
      </c>
      <c r="E3">
        <f t="shared" ref="E3:E66" si="2">PRODUCT(D3,D3)</f>
        <v>16461.666993968793</v>
      </c>
      <c r="F3">
        <f t="shared" ref="F3:F66" si="3">B3-922.68</f>
        <v>-259.67999999999995</v>
      </c>
      <c r="G3">
        <f t="shared" ref="G3:G66" si="4">PRODUCT(F3,F3)</f>
        <v>67433.70239999998</v>
      </c>
    </row>
    <row r="4" spans="1:15" x14ac:dyDescent="0.3">
      <c r="A4">
        <v>35</v>
      </c>
      <c r="B4">
        <v>464</v>
      </c>
      <c r="C4">
        <f t="shared" si="0"/>
        <v>735.05880500000001</v>
      </c>
      <c r="D4">
        <f t="shared" si="1"/>
        <v>-271.05880500000001</v>
      </c>
      <c r="E4">
        <f t="shared" si="2"/>
        <v>73472.875768028025</v>
      </c>
      <c r="F4">
        <f t="shared" si="3"/>
        <v>-458.67999999999995</v>
      </c>
      <c r="G4">
        <f t="shared" si="4"/>
        <v>210387.34239999996</v>
      </c>
    </row>
    <row r="5" spans="1:15" x14ac:dyDescent="0.3">
      <c r="A5">
        <v>221</v>
      </c>
      <c r="B5">
        <v>693</v>
      </c>
      <c r="C5">
        <f t="shared" si="0"/>
        <v>800.03660300000001</v>
      </c>
      <c r="D5">
        <f t="shared" si="1"/>
        <v>-107.03660300000001</v>
      </c>
      <c r="E5">
        <f t="shared" si="2"/>
        <v>11456.834381779612</v>
      </c>
      <c r="F5">
        <f t="shared" si="3"/>
        <v>-229.67999999999995</v>
      </c>
      <c r="G5">
        <f t="shared" si="4"/>
        <v>52752.902399999977</v>
      </c>
    </row>
    <row r="6" spans="1:15" x14ac:dyDescent="0.3">
      <c r="A6">
        <v>3</v>
      </c>
      <c r="B6">
        <v>800</v>
      </c>
      <c r="C6">
        <f t="shared" si="0"/>
        <v>723.87982900000009</v>
      </c>
      <c r="D6">
        <f t="shared" si="1"/>
        <v>76.120170999999914</v>
      </c>
      <c r="E6">
        <f t="shared" si="2"/>
        <v>5794.2804330692279</v>
      </c>
      <c r="F6">
        <f t="shared" si="3"/>
        <v>-122.67999999999995</v>
      </c>
      <c r="G6">
        <f t="shared" si="4"/>
        <v>15050.382399999988</v>
      </c>
    </row>
    <row r="7" spans="1:15" x14ac:dyDescent="0.3">
      <c r="A7">
        <v>60</v>
      </c>
      <c r="B7">
        <v>604</v>
      </c>
      <c r="C7">
        <f t="shared" si="0"/>
        <v>743.79238000000009</v>
      </c>
      <c r="D7">
        <f t="shared" si="1"/>
        <v>-139.79238000000009</v>
      </c>
      <c r="E7">
        <f t="shared" si="2"/>
        <v>19541.909506064425</v>
      </c>
      <c r="F7">
        <f t="shared" si="3"/>
        <v>-318.67999999999995</v>
      </c>
      <c r="G7">
        <f t="shared" si="4"/>
        <v>101556.94239999997</v>
      </c>
    </row>
    <row r="8" spans="1:15" x14ac:dyDescent="0.3">
      <c r="A8">
        <v>160</v>
      </c>
      <c r="B8">
        <v>311</v>
      </c>
      <c r="C8">
        <f t="shared" si="0"/>
        <v>778.72667999999999</v>
      </c>
      <c r="D8">
        <f t="shared" si="1"/>
        <v>-467.72667999999999</v>
      </c>
      <c r="E8">
        <f t="shared" si="2"/>
        <v>218768.24718382239</v>
      </c>
      <c r="F8">
        <f t="shared" si="3"/>
        <v>-611.67999999999995</v>
      </c>
      <c r="G8">
        <f t="shared" si="4"/>
        <v>374152.42239999992</v>
      </c>
    </row>
    <row r="9" spans="1:15" x14ac:dyDescent="0.3">
      <c r="A9">
        <v>150</v>
      </c>
      <c r="B9">
        <v>838</v>
      </c>
      <c r="C9">
        <f t="shared" si="0"/>
        <v>775.23325</v>
      </c>
      <c r="D9">
        <f t="shared" si="1"/>
        <v>62.766750000000002</v>
      </c>
      <c r="E9">
        <f t="shared" si="2"/>
        <v>3939.6649055625003</v>
      </c>
      <c r="F9">
        <f t="shared" si="3"/>
        <v>-84.67999999999995</v>
      </c>
      <c r="G9">
        <f t="shared" si="4"/>
        <v>7170.7023999999919</v>
      </c>
      <c r="J9" t="s">
        <v>34</v>
      </c>
      <c r="K9" t="s">
        <v>21</v>
      </c>
      <c r="L9" s="1">
        <v>2</v>
      </c>
      <c r="O9" s="1"/>
    </row>
    <row r="10" spans="1:15" x14ac:dyDescent="0.3">
      <c r="A10">
        <v>981</v>
      </c>
      <c r="B10">
        <v>1269</v>
      </c>
      <c r="C10">
        <f t="shared" si="0"/>
        <v>1065.5372830000001</v>
      </c>
      <c r="D10">
        <f t="shared" si="1"/>
        <v>203.46271699999988</v>
      </c>
      <c r="E10">
        <f t="shared" si="2"/>
        <v>41397.077209022042</v>
      </c>
      <c r="F10">
        <f t="shared" si="3"/>
        <v>346.32000000000005</v>
      </c>
      <c r="G10">
        <f t="shared" si="4"/>
        <v>119937.54240000003</v>
      </c>
      <c r="J10">
        <f>SUM(E2:E101)</f>
        <v>6428759.122294195</v>
      </c>
      <c r="K10">
        <f>SUM(G2:G101)</f>
        <v>11838685.760000002</v>
      </c>
      <c r="L10">
        <f>1-(J10/K10)</f>
        <v>0.45697020322852167</v>
      </c>
    </row>
    <row r="11" spans="1:15" x14ac:dyDescent="0.3">
      <c r="A11">
        <v>113</v>
      </c>
      <c r="B11">
        <v>735</v>
      </c>
      <c r="C11">
        <f t="shared" si="0"/>
        <v>762.30755900000008</v>
      </c>
      <c r="D11">
        <f t="shared" si="1"/>
        <v>-27.307559000000083</v>
      </c>
      <c r="E11">
        <f t="shared" si="2"/>
        <v>745.70277853848552</v>
      </c>
      <c r="F11">
        <f t="shared" si="3"/>
        <v>-187.67999999999995</v>
      </c>
      <c r="G11">
        <f t="shared" si="4"/>
        <v>35223.782399999982</v>
      </c>
    </row>
    <row r="12" spans="1:15" x14ac:dyDescent="0.3">
      <c r="A12">
        <v>64</v>
      </c>
      <c r="B12">
        <v>563</v>
      </c>
      <c r="C12">
        <f t="shared" si="0"/>
        <v>745.189752</v>
      </c>
      <c r="D12">
        <f t="shared" si="1"/>
        <v>-182.189752</v>
      </c>
      <c r="E12">
        <f t="shared" si="2"/>
        <v>33193.105733821503</v>
      </c>
      <c r="F12">
        <f t="shared" si="3"/>
        <v>-359.67999999999995</v>
      </c>
      <c r="G12">
        <f t="shared" si="4"/>
        <v>129369.70239999997</v>
      </c>
    </row>
    <row r="13" spans="1:15" x14ac:dyDescent="0.3">
      <c r="A13">
        <v>883</v>
      </c>
      <c r="B13">
        <v>1028</v>
      </c>
      <c r="C13">
        <f t="shared" si="0"/>
        <v>1031.3016689999999</v>
      </c>
      <c r="D13">
        <f t="shared" si="1"/>
        <v>-3.3016689999999471</v>
      </c>
      <c r="E13">
        <f t="shared" si="2"/>
        <v>10.90101818556065</v>
      </c>
      <c r="F13">
        <f t="shared" si="3"/>
        <v>105.32000000000005</v>
      </c>
      <c r="G13">
        <f t="shared" si="4"/>
        <v>11092.302400000011</v>
      </c>
    </row>
    <row r="14" spans="1:15" x14ac:dyDescent="0.3">
      <c r="A14">
        <v>116</v>
      </c>
      <c r="B14">
        <v>560</v>
      </c>
      <c r="C14">
        <f t="shared" si="0"/>
        <v>763.35558800000001</v>
      </c>
      <c r="D14">
        <f t="shared" si="1"/>
        <v>-203.35558800000001</v>
      </c>
      <c r="E14">
        <f t="shared" si="2"/>
        <v>41353.49517082575</v>
      </c>
      <c r="F14">
        <f t="shared" si="3"/>
        <v>-362.67999999999995</v>
      </c>
      <c r="G14">
        <f t="shared" si="4"/>
        <v>131536.78239999997</v>
      </c>
    </row>
    <row r="15" spans="1:15" x14ac:dyDescent="0.3">
      <c r="A15">
        <v>178</v>
      </c>
      <c r="B15">
        <v>422</v>
      </c>
      <c r="C15">
        <f t="shared" si="0"/>
        <v>785.01485400000001</v>
      </c>
      <c r="D15">
        <f t="shared" si="1"/>
        <v>-363.01485400000001</v>
      </c>
      <c r="E15">
        <f t="shared" si="2"/>
        <v>131779.78422464133</v>
      </c>
      <c r="F15">
        <f t="shared" si="3"/>
        <v>-500.67999999999995</v>
      </c>
      <c r="G15">
        <f t="shared" si="4"/>
        <v>250680.46239999996</v>
      </c>
    </row>
    <row r="16" spans="1:15" x14ac:dyDescent="0.3">
      <c r="A16">
        <v>193</v>
      </c>
      <c r="B16">
        <v>835</v>
      </c>
      <c r="C16">
        <f t="shared" si="0"/>
        <v>790.254999</v>
      </c>
      <c r="D16">
        <f t="shared" si="1"/>
        <v>44.745001000000002</v>
      </c>
      <c r="E16">
        <f t="shared" si="2"/>
        <v>2002.1151144900011</v>
      </c>
      <c r="F16">
        <f t="shared" si="3"/>
        <v>-87.67999999999995</v>
      </c>
      <c r="G16">
        <f t="shared" si="4"/>
        <v>7687.782399999991</v>
      </c>
    </row>
    <row r="17" spans="1:7" x14ac:dyDescent="0.3">
      <c r="A17">
        <v>131</v>
      </c>
      <c r="B17">
        <v>374</v>
      </c>
      <c r="C17">
        <f t="shared" si="0"/>
        <v>768.595733</v>
      </c>
      <c r="D17">
        <f t="shared" si="1"/>
        <v>-394.595733</v>
      </c>
      <c r="E17">
        <f t="shared" si="2"/>
        <v>155705.79250180727</v>
      </c>
      <c r="F17">
        <f t="shared" si="3"/>
        <v>-548.67999999999995</v>
      </c>
      <c r="G17">
        <f t="shared" si="4"/>
        <v>301049.74239999993</v>
      </c>
    </row>
    <row r="18" spans="1:7" x14ac:dyDescent="0.3">
      <c r="A18">
        <v>991</v>
      </c>
      <c r="B18">
        <v>1143</v>
      </c>
      <c r="C18">
        <f t="shared" si="0"/>
        <v>1069.0307130000001</v>
      </c>
      <c r="D18">
        <f t="shared" si="1"/>
        <v>73.969286999999895</v>
      </c>
      <c r="E18">
        <f t="shared" si="2"/>
        <v>5471.4554192883534</v>
      </c>
      <c r="F18">
        <f t="shared" si="3"/>
        <v>220.32000000000005</v>
      </c>
      <c r="G18">
        <f t="shared" si="4"/>
        <v>48540.902400000021</v>
      </c>
    </row>
    <row r="19" spans="1:7" x14ac:dyDescent="0.3">
      <c r="A19">
        <v>193</v>
      </c>
      <c r="B19">
        <v>714</v>
      </c>
      <c r="C19">
        <f t="shared" si="0"/>
        <v>790.254999</v>
      </c>
      <c r="D19">
        <f t="shared" si="1"/>
        <v>-76.254998999999998</v>
      </c>
      <c r="E19">
        <f t="shared" si="2"/>
        <v>5814.8248724900004</v>
      </c>
      <c r="F19">
        <f t="shared" si="3"/>
        <v>-208.67999999999995</v>
      </c>
      <c r="G19">
        <f t="shared" si="4"/>
        <v>43547.34239999998</v>
      </c>
    </row>
    <row r="20" spans="1:7" x14ac:dyDescent="0.3">
      <c r="A20">
        <v>222</v>
      </c>
      <c r="B20">
        <v>1109</v>
      </c>
      <c r="C20">
        <f t="shared" si="0"/>
        <v>800.3859460000001</v>
      </c>
      <c r="D20">
        <f t="shared" si="1"/>
        <v>308.6140539999999</v>
      </c>
      <c r="E20">
        <f t="shared" si="2"/>
        <v>95242.634326314859</v>
      </c>
      <c r="F20">
        <f t="shared" si="3"/>
        <v>186.32000000000005</v>
      </c>
      <c r="G20">
        <f t="shared" si="4"/>
        <v>34715.142400000019</v>
      </c>
    </row>
    <row r="21" spans="1:7" x14ac:dyDescent="0.3">
      <c r="A21">
        <v>422</v>
      </c>
      <c r="B21">
        <v>857</v>
      </c>
      <c r="C21">
        <f t="shared" si="0"/>
        <v>870.25454600000012</v>
      </c>
      <c r="D21">
        <f t="shared" si="1"/>
        <v>-13.254546000000119</v>
      </c>
      <c r="E21">
        <f t="shared" si="2"/>
        <v>175.68298966611914</v>
      </c>
      <c r="F21">
        <f t="shared" si="3"/>
        <v>-65.67999999999995</v>
      </c>
      <c r="G21">
        <f t="shared" si="4"/>
        <v>4313.8623999999936</v>
      </c>
    </row>
    <row r="22" spans="1:7" x14ac:dyDescent="0.3">
      <c r="A22">
        <v>1812</v>
      </c>
      <c r="B22">
        <v>1176</v>
      </c>
      <c r="C22">
        <f t="shared" si="0"/>
        <v>1355.841316</v>
      </c>
      <c r="D22">
        <f t="shared" si="1"/>
        <v>-179.84131600000001</v>
      </c>
      <c r="E22">
        <f t="shared" si="2"/>
        <v>32342.89894061186</v>
      </c>
      <c r="F22">
        <f t="shared" si="3"/>
        <v>253.32000000000005</v>
      </c>
      <c r="G22">
        <f t="shared" si="4"/>
        <v>64171.022400000023</v>
      </c>
    </row>
    <row r="23" spans="1:7" x14ac:dyDescent="0.3">
      <c r="A23">
        <v>350</v>
      </c>
      <c r="B23">
        <v>554</v>
      </c>
      <c r="C23">
        <f t="shared" si="0"/>
        <v>845.10185000000001</v>
      </c>
      <c r="D23">
        <f t="shared" si="1"/>
        <v>-291.10185000000001</v>
      </c>
      <c r="E23">
        <f t="shared" si="2"/>
        <v>84740.287073422514</v>
      </c>
      <c r="F23">
        <f t="shared" si="3"/>
        <v>-368.67999999999995</v>
      </c>
      <c r="G23">
        <f t="shared" si="4"/>
        <v>135924.94239999997</v>
      </c>
    </row>
    <row r="24" spans="1:7" x14ac:dyDescent="0.3">
      <c r="A24">
        <v>1184</v>
      </c>
      <c r="B24">
        <v>1591</v>
      </c>
      <c r="C24">
        <f t="shared" si="0"/>
        <v>1136.4539119999999</v>
      </c>
      <c r="D24">
        <f t="shared" si="1"/>
        <v>454.54608800000005</v>
      </c>
      <c r="E24">
        <f t="shared" si="2"/>
        <v>206612.1461161038</v>
      </c>
      <c r="F24">
        <f t="shared" si="3"/>
        <v>668.32</v>
      </c>
      <c r="G24">
        <f t="shared" si="4"/>
        <v>446651.62240000005</v>
      </c>
    </row>
    <row r="25" spans="1:7" x14ac:dyDescent="0.3">
      <c r="A25">
        <v>119</v>
      </c>
      <c r="B25">
        <v>567</v>
      </c>
      <c r="C25">
        <f t="shared" si="0"/>
        <v>764.40361700000005</v>
      </c>
      <c r="D25">
        <f t="shared" si="1"/>
        <v>-197.40361700000005</v>
      </c>
      <c r="E25">
        <f t="shared" si="2"/>
        <v>38968.188004682714</v>
      </c>
      <c r="F25">
        <f t="shared" si="3"/>
        <v>-355.67999999999995</v>
      </c>
      <c r="G25">
        <f t="shared" si="4"/>
        <v>126508.26239999996</v>
      </c>
    </row>
    <row r="26" spans="1:7" x14ac:dyDescent="0.3">
      <c r="A26">
        <v>505</v>
      </c>
      <c r="B26">
        <v>1150</v>
      </c>
      <c r="C26">
        <f t="shared" si="0"/>
        <v>899.25001500000008</v>
      </c>
      <c r="D26">
        <f t="shared" si="1"/>
        <v>250.74998499999992</v>
      </c>
      <c r="E26">
        <f t="shared" si="2"/>
        <v>62875.554977500185</v>
      </c>
      <c r="F26">
        <f t="shared" si="3"/>
        <v>227.32000000000005</v>
      </c>
      <c r="G26">
        <f t="shared" si="4"/>
        <v>51674.382400000024</v>
      </c>
    </row>
    <row r="27" spans="1:7" x14ac:dyDescent="0.3">
      <c r="A27">
        <v>840</v>
      </c>
      <c r="B27">
        <v>887</v>
      </c>
      <c r="C27">
        <f t="shared" si="0"/>
        <v>1016.2799200000001</v>
      </c>
      <c r="D27">
        <f t="shared" si="1"/>
        <v>-129.27992000000006</v>
      </c>
      <c r="E27">
        <f t="shared" si="2"/>
        <v>16713.297715206416</v>
      </c>
      <c r="F27">
        <f t="shared" si="3"/>
        <v>-35.67999999999995</v>
      </c>
      <c r="G27">
        <f t="shared" si="4"/>
        <v>1273.0623999999964</v>
      </c>
    </row>
    <row r="28" spans="1:7" x14ac:dyDescent="0.3">
      <c r="A28">
        <v>25</v>
      </c>
      <c r="B28">
        <v>718</v>
      </c>
      <c r="C28">
        <f t="shared" si="0"/>
        <v>731.56537500000002</v>
      </c>
      <c r="D28">
        <f t="shared" si="1"/>
        <v>-13.565375000000017</v>
      </c>
      <c r="E28">
        <f t="shared" si="2"/>
        <v>184.01939889062547</v>
      </c>
      <c r="F28">
        <f t="shared" si="3"/>
        <v>-204.67999999999995</v>
      </c>
      <c r="G28">
        <f t="shared" si="4"/>
        <v>41893.902399999977</v>
      </c>
    </row>
    <row r="29" spans="1:7" x14ac:dyDescent="0.3">
      <c r="A29">
        <v>551</v>
      </c>
      <c r="B29">
        <v>1082</v>
      </c>
      <c r="C29">
        <f t="shared" si="0"/>
        <v>915.31979300000012</v>
      </c>
      <c r="D29">
        <f t="shared" si="1"/>
        <v>166.68020699999988</v>
      </c>
      <c r="E29">
        <f t="shared" si="2"/>
        <v>27782.29140556281</v>
      </c>
      <c r="F29">
        <f t="shared" si="3"/>
        <v>159.32000000000005</v>
      </c>
      <c r="G29">
        <f t="shared" si="4"/>
        <v>25382.862400000016</v>
      </c>
    </row>
    <row r="30" spans="1:7" x14ac:dyDescent="0.3">
      <c r="A30">
        <v>639</v>
      </c>
      <c r="B30">
        <v>596</v>
      </c>
      <c r="C30">
        <f t="shared" si="0"/>
        <v>946.06197700000007</v>
      </c>
      <c r="D30">
        <f t="shared" si="1"/>
        <v>-350.06197700000007</v>
      </c>
      <c r="E30">
        <f t="shared" si="2"/>
        <v>122543.38774114857</v>
      </c>
      <c r="F30">
        <f t="shared" si="3"/>
        <v>-326.67999999999995</v>
      </c>
      <c r="G30">
        <f t="shared" si="4"/>
        <v>106719.82239999996</v>
      </c>
    </row>
    <row r="31" spans="1:7" x14ac:dyDescent="0.3">
      <c r="A31">
        <v>166</v>
      </c>
      <c r="B31">
        <v>1041</v>
      </c>
      <c r="C31">
        <f t="shared" si="0"/>
        <v>780.82273800000007</v>
      </c>
      <c r="D31">
        <f t="shared" si="1"/>
        <v>260.17726199999993</v>
      </c>
      <c r="E31">
        <f t="shared" si="2"/>
        <v>67692.207661816603</v>
      </c>
      <c r="F31">
        <f t="shared" si="3"/>
        <v>118.32000000000005</v>
      </c>
      <c r="G31">
        <f t="shared" si="4"/>
        <v>13999.622400000011</v>
      </c>
    </row>
    <row r="32" spans="1:7" x14ac:dyDescent="0.3">
      <c r="A32">
        <v>114</v>
      </c>
      <c r="B32">
        <v>510</v>
      </c>
      <c r="C32">
        <f t="shared" si="0"/>
        <v>762.65690200000006</v>
      </c>
      <c r="D32">
        <f t="shared" si="1"/>
        <v>-252.65690200000006</v>
      </c>
      <c r="E32">
        <f t="shared" si="2"/>
        <v>63835.510128237634</v>
      </c>
      <c r="F32">
        <f t="shared" si="3"/>
        <v>-412.67999999999995</v>
      </c>
      <c r="G32">
        <f t="shared" si="4"/>
        <v>170304.78239999997</v>
      </c>
    </row>
    <row r="33" spans="1:7" x14ac:dyDescent="0.3">
      <c r="A33">
        <v>352</v>
      </c>
      <c r="B33">
        <v>1072</v>
      </c>
      <c r="C33">
        <f t="shared" si="0"/>
        <v>845.80053600000008</v>
      </c>
      <c r="D33">
        <f t="shared" si="1"/>
        <v>226.19946399999992</v>
      </c>
      <c r="E33">
        <f t="shared" si="2"/>
        <v>51166.197513887259</v>
      </c>
      <c r="F33">
        <f t="shared" si="3"/>
        <v>149.32000000000005</v>
      </c>
      <c r="G33">
        <f t="shared" si="4"/>
        <v>22296.462400000015</v>
      </c>
    </row>
    <row r="34" spans="1:7" x14ac:dyDescent="0.3">
      <c r="A34">
        <v>370</v>
      </c>
      <c r="B34">
        <v>1180</v>
      </c>
      <c r="C34">
        <f t="shared" si="0"/>
        <v>852.08870999999999</v>
      </c>
      <c r="D34">
        <f t="shared" si="1"/>
        <v>327.91129000000001</v>
      </c>
      <c r="E34">
        <f t="shared" si="2"/>
        <v>107525.8141094641</v>
      </c>
      <c r="F34">
        <f t="shared" si="3"/>
        <v>257.32000000000005</v>
      </c>
      <c r="G34">
        <f t="shared" si="4"/>
        <v>66213.582400000028</v>
      </c>
    </row>
    <row r="35" spans="1:7" x14ac:dyDescent="0.3">
      <c r="A35">
        <v>377</v>
      </c>
      <c r="B35">
        <v>1123</v>
      </c>
      <c r="C35">
        <f t="shared" si="0"/>
        <v>854.53411100000005</v>
      </c>
      <c r="D35">
        <f t="shared" si="1"/>
        <v>268.46588899999995</v>
      </c>
      <c r="E35">
        <f t="shared" si="2"/>
        <v>72073.933556560296</v>
      </c>
      <c r="F35">
        <f t="shared" si="3"/>
        <v>200.32000000000005</v>
      </c>
      <c r="G35">
        <f t="shared" si="4"/>
        <v>40128.102400000018</v>
      </c>
    </row>
    <row r="36" spans="1:7" x14ac:dyDescent="0.3">
      <c r="A36">
        <v>502</v>
      </c>
      <c r="B36">
        <v>1029</v>
      </c>
      <c r="C36">
        <f t="shared" si="0"/>
        <v>898.20198600000003</v>
      </c>
      <c r="D36">
        <f t="shared" si="1"/>
        <v>130.79801399999997</v>
      </c>
      <c r="E36">
        <f t="shared" si="2"/>
        <v>17108.120466344186</v>
      </c>
      <c r="F36">
        <f t="shared" si="3"/>
        <v>106.32000000000005</v>
      </c>
      <c r="G36">
        <f t="shared" si="4"/>
        <v>11303.942400000011</v>
      </c>
    </row>
    <row r="37" spans="1:7" x14ac:dyDescent="0.3">
      <c r="A37">
        <v>655</v>
      </c>
      <c r="B37">
        <v>1150</v>
      </c>
      <c r="C37">
        <f t="shared" si="0"/>
        <v>951.65146500000003</v>
      </c>
      <c r="D37">
        <f t="shared" si="1"/>
        <v>198.34853499999997</v>
      </c>
      <c r="E37">
        <f t="shared" si="2"/>
        <v>39342.141336646215</v>
      </c>
      <c r="F37">
        <f t="shared" si="3"/>
        <v>227.32000000000005</v>
      </c>
      <c r="G37">
        <f t="shared" si="4"/>
        <v>51674.382400000024</v>
      </c>
    </row>
    <row r="38" spans="1:7" x14ac:dyDescent="0.3">
      <c r="A38">
        <v>236</v>
      </c>
      <c r="B38">
        <v>722</v>
      </c>
      <c r="C38">
        <f t="shared" si="0"/>
        <v>805.276748</v>
      </c>
      <c r="D38">
        <f t="shared" si="1"/>
        <v>-83.276747999999998</v>
      </c>
      <c r="E38">
        <f t="shared" si="2"/>
        <v>6935.0167574555035</v>
      </c>
      <c r="F38">
        <f t="shared" si="3"/>
        <v>-200.67999999999995</v>
      </c>
      <c r="G38">
        <f t="shared" si="4"/>
        <v>40272.462399999982</v>
      </c>
    </row>
    <row r="39" spans="1:7" x14ac:dyDescent="0.3">
      <c r="A39">
        <v>190</v>
      </c>
      <c r="B39">
        <v>996</v>
      </c>
      <c r="C39">
        <f t="shared" si="0"/>
        <v>789.20697000000007</v>
      </c>
      <c r="D39">
        <f t="shared" si="1"/>
        <v>206.79302999999993</v>
      </c>
      <c r="E39">
        <f t="shared" si="2"/>
        <v>42763.357256580872</v>
      </c>
      <c r="F39">
        <f t="shared" si="3"/>
        <v>73.32000000000005</v>
      </c>
      <c r="G39">
        <f t="shared" si="4"/>
        <v>5375.8224000000073</v>
      </c>
    </row>
    <row r="40" spans="1:7" x14ac:dyDescent="0.3">
      <c r="A40">
        <v>196</v>
      </c>
      <c r="B40">
        <v>1130</v>
      </c>
      <c r="C40">
        <f t="shared" si="0"/>
        <v>791.30302800000004</v>
      </c>
      <c r="D40">
        <f t="shared" si="1"/>
        <v>338.69697199999996</v>
      </c>
      <c r="E40">
        <f t="shared" si="2"/>
        <v>114715.63884196876</v>
      </c>
      <c r="F40">
        <f t="shared" si="3"/>
        <v>207.32000000000005</v>
      </c>
      <c r="G40">
        <f t="shared" si="4"/>
        <v>42981.582400000021</v>
      </c>
    </row>
    <row r="41" spans="1:7" x14ac:dyDescent="0.3">
      <c r="A41">
        <v>852</v>
      </c>
      <c r="B41">
        <v>1112</v>
      </c>
      <c r="C41">
        <f t="shared" si="0"/>
        <v>1020.4720360000001</v>
      </c>
      <c r="D41">
        <f t="shared" si="1"/>
        <v>91.527963999999884</v>
      </c>
      <c r="E41">
        <f t="shared" si="2"/>
        <v>8377.368193985274</v>
      </c>
      <c r="F41">
        <f t="shared" si="3"/>
        <v>189.32000000000005</v>
      </c>
      <c r="G41">
        <f t="shared" si="4"/>
        <v>35842.062400000017</v>
      </c>
    </row>
    <row r="42" spans="1:7" x14ac:dyDescent="0.3">
      <c r="A42">
        <v>904</v>
      </c>
      <c r="B42">
        <v>1191</v>
      </c>
      <c r="C42">
        <f t="shared" si="0"/>
        <v>1038.637872</v>
      </c>
      <c r="D42">
        <f t="shared" si="1"/>
        <v>152.36212799999998</v>
      </c>
      <c r="E42">
        <f t="shared" si="2"/>
        <v>23214.218048688381</v>
      </c>
      <c r="F42">
        <f t="shared" si="3"/>
        <v>268.32000000000005</v>
      </c>
      <c r="G42">
        <f t="shared" si="4"/>
        <v>71995.622400000022</v>
      </c>
    </row>
    <row r="43" spans="1:7" x14ac:dyDescent="0.3">
      <c r="A43">
        <v>464</v>
      </c>
      <c r="B43">
        <v>725</v>
      </c>
      <c r="C43">
        <f t="shared" si="0"/>
        <v>884.92695200000003</v>
      </c>
      <c r="D43">
        <f t="shared" si="1"/>
        <v>-159.92695200000003</v>
      </c>
      <c r="E43">
        <f t="shared" si="2"/>
        <v>25576.629976010314</v>
      </c>
      <c r="F43">
        <f t="shared" si="3"/>
        <v>-197.67999999999995</v>
      </c>
      <c r="G43">
        <f t="shared" si="4"/>
        <v>39077.38239999998</v>
      </c>
    </row>
    <row r="44" spans="1:7" x14ac:dyDescent="0.3">
      <c r="A44">
        <v>83</v>
      </c>
      <c r="B44">
        <v>607</v>
      </c>
      <c r="C44">
        <f t="shared" si="0"/>
        <v>751.827269</v>
      </c>
      <c r="D44">
        <f t="shared" si="1"/>
        <v>-144.827269</v>
      </c>
      <c r="E44">
        <f t="shared" si="2"/>
        <v>20974.93784599836</v>
      </c>
      <c r="F44">
        <f t="shared" si="3"/>
        <v>-315.67999999999995</v>
      </c>
      <c r="G44">
        <f t="shared" si="4"/>
        <v>99653.862399999969</v>
      </c>
    </row>
    <row r="45" spans="1:7" x14ac:dyDescent="0.3">
      <c r="A45">
        <v>462</v>
      </c>
      <c r="B45">
        <v>1030</v>
      </c>
      <c r="C45">
        <f t="shared" si="0"/>
        <v>884.22826600000008</v>
      </c>
      <c r="D45">
        <f t="shared" si="1"/>
        <v>145.77173399999992</v>
      </c>
      <c r="E45">
        <f t="shared" si="2"/>
        <v>21249.398433366732</v>
      </c>
      <c r="F45">
        <f t="shared" si="3"/>
        <v>107.32000000000005</v>
      </c>
      <c r="G45">
        <f t="shared" si="4"/>
        <v>11517.58240000001</v>
      </c>
    </row>
    <row r="46" spans="1:7" x14ac:dyDescent="0.3">
      <c r="A46">
        <v>16</v>
      </c>
      <c r="B46">
        <v>611</v>
      </c>
      <c r="C46">
        <f t="shared" si="0"/>
        <v>728.421288</v>
      </c>
      <c r="D46">
        <f t="shared" si="1"/>
        <v>-117.421288</v>
      </c>
      <c r="E46">
        <f t="shared" si="2"/>
        <v>13787.758875578946</v>
      </c>
      <c r="F46">
        <f t="shared" si="3"/>
        <v>-311.67999999999995</v>
      </c>
      <c r="G46">
        <f t="shared" si="4"/>
        <v>97144.422399999967</v>
      </c>
    </row>
    <row r="47" spans="1:7" x14ac:dyDescent="0.3">
      <c r="A47">
        <v>56</v>
      </c>
      <c r="B47">
        <v>1217</v>
      </c>
      <c r="C47">
        <f t="shared" si="0"/>
        <v>742.39500800000008</v>
      </c>
      <c r="D47">
        <f t="shared" si="1"/>
        <v>474.60499199999992</v>
      </c>
      <c r="E47">
        <f t="shared" si="2"/>
        <v>225249.89843132001</v>
      </c>
      <c r="F47">
        <f t="shared" si="3"/>
        <v>294.32000000000005</v>
      </c>
      <c r="G47">
        <f t="shared" si="4"/>
        <v>86624.262400000036</v>
      </c>
    </row>
    <row r="48" spans="1:7" x14ac:dyDescent="0.3">
      <c r="A48">
        <v>138</v>
      </c>
      <c r="B48">
        <v>996</v>
      </c>
      <c r="C48">
        <f t="shared" si="0"/>
        <v>771.04113400000006</v>
      </c>
      <c r="D48">
        <f t="shared" si="1"/>
        <v>224.95886599999994</v>
      </c>
      <c r="E48">
        <f t="shared" si="2"/>
        <v>50606.491392005933</v>
      </c>
      <c r="F48">
        <f t="shared" si="3"/>
        <v>73.32000000000005</v>
      </c>
      <c r="G48">
        <f t="shared" si="4"/>
        <v>5375.8224000000073</v>
      </c>
    </row>
    <row r="49" spans="1:7" x14ac:dyDescent="0.3">
      <c r="A49">
        <v>584</v>
      </c>
      <c r="B49">
        <v>1043</v>
      </c>
      <c r="C49">
        <f t="shared" si="0"/>
        <v>926.84811200000001</v>
      </c>
      <c r="D49">
        <f t="shared" si="1"/>
        <v>116.15188799999999</v>
      </c>
      <c r="E49">
        <f t="shared" si="2"/>
        <v>13491.261085964541</v>
      </c>
      <c r="F49">
        <f t="shared" si="3"/>
        <v>120.32000000000005</v>
      </c>
      <c r="G49">
        <f t="shared" si="4"/>
        <v>14476.902400000012</v>
      </c>
    </row>
    <row r="50" spans="1:7" x14ac:dyDescent="0.3">
      <c r="A50">
        <v>738</v>
      </c>
      <c r="B50">
        <v>1512</v>
      </c>
      <c r="C50">
        <f t="shared" si="0"/>
        <v>980.6469340000001</v>
      </c>
      <c r="D50">
        <f t="shared" si="1"/>
        <v>531.3530659999999</v>
      </c>
      <c r="E50">
        <f t="shared" si="2"/>
        <v>282336.08074760024</v>
      </c>
      <c r="F50">
        <f t="shared" si="3"/>
        <v>589.32000000000005</v>
      </c>
      <c r="G50">
        <f t="shared" si="4"/>
        <v>347298.06240000005</v>
      </c>
    </row>
    <row r="51" spans="1:7" x14ac:dyDescent="0.3">
      <c r="A51">
        <v>453</v>
      </c>
      <c r="B51">
        <v>1145</v>
      </c>
      <c r="C51">
        <f t="shared" si="0"/>
        <v>881.08417900000006</v>
      </c>
      <c r="D51">
        <f t="shared" si="1"/>
        <v>263.91582099999994</v>
      </c>
      <c r="E51">
        <f t="shared" si="2"/>
        <v>69651.560574104005</v>
      </c>
      <c r="F51">
        <f t="shared" si="3"/>
        <v>222.32000000000005</v>
      </c>
      <c r="G51">
        <f t="shared" si="4"/>
        <v>49426.18240000002</v>
      </c>
    </row>
    <row r="52" spans="1:7" x14ac:dyDescent="0.3">
      <c r="A52">
        <v>2</v>
      </c>
      <c r="B52">
        <v>374</v>
      </c>
      <c r="C52">
        <f t="shared" si="0"/>
        <v>723.530486</v>
      </c>
      <c r="D52">
        <f t="shared" si="1"/>
        <v>-349.530486</v>
      </c>
      <c r="E52">
        <f t="shared" si="2"/>
        <v>122171.56064339619</v>
      </c>
      <c r="F52">
        <f t="shared" si="3"/>
        <v>-548.67999999999995</v>
      </c>
      <c r="G52">
        <f t="shared" si="4"/>
        <v>301049.74239999993</v>
      </c>
    </row>
    <row r="53" spans="1:7" x14ac:dyDescent="0.3">
      <c r="A53">
        <v>796</v>
      </c>
      <c r="B53">
        <v>837</v>
      </c>
      <c r="C53">
        <f t="shared" si="0"/>
        <v>1000.9088280000001</v>
      </c>
      <c r="D53">
        <f t="shared" si="1"/>
        <v>-163.90882800000009</v>
      </c>
      <c r="E53">
        <f t="shared" si="2"/>
        <v>26866.10389633361</v>
      </c>
      <c r="F53">
        <f t="shared" si="3"/>
        <v>-85.67999999999995</v>
      </c>
      <c r="G53">
        <f t="shared" si="4"/>
        <v>7341.0623999999916</v>
      </c>
    </row>
    <row r="54" spans="1:7" x14ac:dyDescent="0.3">
      <c r="A54">
        <v>461</v>
      </c>
      <c r="B54">
        <v>1299</v>
      </c>
      <c r="C54">
        <f t="shared" si="0"/>
        <v>883.87892299999999</v>
      </c>
      <c r="D54">
        <f t="shared" si="1"/>
        <v>415.12107700000001</v>
      </c>
      <c r="E54">
        <f t="shared" si="2"/>
        <v>172325.50856963993</v>
      </c>
      <c r="F54">
        <f t="shared" si="3"/>
        <v>376.32000000000005</v>
      </c>
      <c r="G54">
        <f t="shared" si="4"/>
        <v>141616.74240000005</v>
      </c>
    </row>
    <row r="55" spans="1:7" x14ac:dyDescent="0.3">
      <c r="A55">
        <v>1466</v>
      </c>
      <c r="B55">
        <v>1410</v>
      </c>
      <c r="C55">
        <f t="shared" si="0"/>
        <v>1234.9686380000001</v>
      </c>
      <c r="D55">
        <f t="shared" si="1"/>
        <v>175.03136199999994</v>
      </c>
      <c r="E55">
        <f t="shared" si="2"/>
        <v>30635.977683575024</v>
      </c>
      <c r="F55">
        <f t="shared" si="3"/>
        <v>487.32000000000005</v>
      </c>
      <c r="G55">
        <f t="shared" si="4"/>
        <v>237480.78240000005</v>
      </c>
    </row>
    <row r="56" spans="1:7" x14ac:dyDescent="0.3">
      <c r="A56">
        <v>395</v>
      </c>
      <c r="B56">
        <v>899</v>
      </c>
      <c r="C56">
        <f t="shared" si="0"/>
        <v>860.82228500000008</v>
      </c>
      <c r="D56">
        <f t="shared" si="1"/>
        <v>38.177714999999921</v>
      </c>
      <c r="E56">
        <f t="shared" si="2"/>
        <v>1457.537922621219</v>
      </c>
      <c r="F56">
        <f t="shared" si="3"/>
        <v>-23.67999999999995</v>
      </c>
      <c r="G56">
        <f t="shared" si="4"/>
        <v>560.74239999999759</v>
      </c>
    </row>
    <row r="57" spans="1:7" x14ac:dyDescent="0.3">
      <c r="A57">
        <v>114</v>
      </c>
      <c r="B57">
        <v>687</v>
      </c>
      <c r="C57">
        <f t="shared" si="0"/>
        <v>762.65690200000006</v>
      </c>
      <c r="D57">
        <f t="shared" si="1"/>
        <v>-75.656902000000059</v>
      </c>
      <c r="E57">
        <f t="shared" si="2"/>
        <v>5723.9668202376133</v>
      </c>
      <c r="F57">
        <f t="shared" si="3"/>
        <v>-235.67999999999995</v>
      </c>
      <c r="G57">
        <f t="shared" si="4"/>
        <v>55545.062399999973</v>
      </c>
    </row>
    <row r="58" spans="1:7" x14ac:dyDescent="0.3">
      <c r="A58">
        <v>1497</v>
      </c>
      <c r="B58">
        <v>1592</v>
      </c>
      <c r="C58">
        <f t="shared" si="0"/>
        <v>1245.7982710000001</v>
      </c>
      <c r="D58">
        <f t="shared" si="1"/>
        <v>346.20172899999989</v>
      </c>
      <c r="E58">
        <f t="shared" si="2"/>
        <v>119855.63716258937</v>
      </c>
      <c r="F58">
        <f t="shared" si="3"/>
        <v>669.32</v>
      </c>
      <c r="G58">
        <f t="shared" si="4"/>
        <v>447989.26240000007</v>
      </c>
    </row>
    <row r="59" spans="1:7" x14ac:dyDescent="0.3">
      <c r="A59">
        <v>507</v>
      </c>
      <c r="B59">
        <v>1184</v>
      </c>
      <c r="C59">
        <f t="shared" si="0"/>
        <v>899.94870100000003</v>
      </c>
      <c r="D59">
        <f t="shared" si="1"/>
        <v>284.05129899999997</v>
      </c>
      <c r="E59">
        <f t="shared" si="2"/>
        <v>80685.140463587391</v>
      </c>
      <c r="F59">
        <f t="shared" si="3"/>
        <v>261.32000000000005</v>
      </c>
      <c r="G59">
        <f t="shared" si="4"/>
        <v>68288.142400000026</v>
      </c>
    </row>
    <row r="60" spans="1:7" x14ac:dyDescent="0.3">
      <c r="A60">
        <v>613</v>
      </c>
      <c r="B60">
        <v>918</v>
      </c>
      <c r="C60">
        <f t="shared" si="0"/>
        <v>936.97905900000001</v>
      </c>
      <c r="D60">
        <f t="shared" si="1"/>
        <v>-18.979059000000007</v>
      </c>
      <c r="E60">
        <f t="shared" si="2"/>
        <v>360.20468052548125</v>
      </c>
      <c r="F60">
        <f t="shared" si="3"/>
        <v>-4.67999999999995</v>
      </c>
      <c r="G60">
        <f t="shared" si="4"/>
        <v>21.902399999999531</v>
      </c>
    </row>
    <row r="61" spans="1:7" x14ac:dyDescent="0.3">
      <c r="A61">
        <v>69</v>
      </c>
      <c r="B61">
        <v>817</v>
      </c>
      <c r="C61">
        <f t="shared" si="0"/>
        <v>746.93646699999999</v>
      </c>
      <c r="D61">
        <f t="shared" si="1"/>
        <v>70.063533000000007</v>
      </c>
      <c r="E61">
        <f t="shared" si="2"/>
        <v>4908.8986564420902</v>
      </c>
      <c r="F61">
        <f t="shared" si="3"/>
        <v>-105.67999999999995</v>
      </c>
      <c r="G61">
        <f t="shared" si="4"/>
        <v>11168.262399999989</v>
      </c>
    </row>
    <row r="62" spans="1:7" x14ac:dyDescent="0.3">
      <c r="A62">
        <v>169</v>
      </c>
      <c r="B62">
        <v>1129</v>
      </c>
      <c r="C62">
        <f t="shared" si="0"/>
        <v>781.870767</v>
      </c>
      <c r="D62">
        <f t="shared" si="1"/>
        <v>347.129233</v>
      </c>
      <c r="E62">
        <f t="shared" si="2"/>
        <v>120498.70440316829</v>
      </c>
      <c r="F62">
        <f t="shared" si="3"/>
        <v>206.32000000000005</v>
      </c>
      <c r="G62">
        <f t="shared" si="4"/>
        <v>42567.942400000022</v>
      </c>
    </row>
    <row r="63" spans="1:7" x14ac:dyDescent="0.3">
      <c r="A63">
        <v>76</v>
      </c>
      <c r="B63">
        <v>852</v>
      </c>
      <c r="C63">
        <f t="shared" si="0"/>
        <v>749.38186800000005</v>
      </c>
      <c r="D63">
        <f t="shared" si="1"/>
        <v>102.61813199999995</v>
      </c>
      <c r="E63">
        <f t="shared" si="2"/>
        <v>10530.481015169413</v>
      </c>
      <c r="F63">
        <f t="shared" si="3"/>
        <v>-70.67999999999995</v>
      </c>
      <c r="G63">
        <f t="shared" si="4"/>
        <v>4995.6623999999929</v>
      </c>
    </row>
    <row r="64" spans="1:7" x14ac:dyDescent="0.3">
      <c r="A64">
        <v>371</v>
      </c>
      <c r="B64">
        <v>1200</v>
      </c>
      <c r="C64">
        <f t="shared" si="0"/>
        <v>852.43805300000008</v>
      </c>
      <c r="D64">
        <f t="shared" si="1"/>
        <v>347.56194699999992</v>
      </c>
      <c r="E64">
        <f t="shared" si="2"/>
        <v>120799.30700243075</v>
      </c>
      <c r="F64">
        <f t="shared" si="3"/>
        <v>277.32000000000005</v>
      </c>
      <c r="G64">
        <f t="shared" si="4"/>
        <v>76906.382400000031</v>
      </c>
    </row>
    <row r="65" spans="1:7" x14ac:dyDescent="0.3">
      <c r="A65">
        <v>28</v>
      </c>
      <c r="B65">
        <v>390</v>
      </c>
      <c r="C65">
        <f t="shared" si="0"/>
        <v>732.61340400000006</v>
      </c>
      <c r="D65">
        <f t="shared" si="1"/>
        <v>-342.61340400000006</v>
      </c>
      <c r="E65">
        <f t="shared" si="2"/>
        <v>117383.94460046725</v>
      </c>
      <c r="F65">
        <f t="shared" si="3"/>
        <v>-532.67999999999995</v>
      </c>
      <c r="G65">
        <f t="shared" si="4"/>
        <v>283747.98239999992</v>
      </c>
    </row>
    <row r="66" spans="1:7" x14ac:dyDescent="0.3">
      <c r="A66">
        <v>34</v>
      </c>
      <c r="B66">
        <v>625</v>
      </c>
      <c r="C66">
        <f t="shared" si="0"/>
        <v>734.70946200000003</v>
      </c>
      <c r="D66">
        <f t="shared" si="1"/>
        <v>-109.70946200000003</v>
      </c>
      <c r="E66">
        <f t="shared" si="2"/>
        <v>12036.16605232945</v>
      </c>
      <c r="F66">
        <f t="shared" si="3"/>
        <v>-297.67999999999995</v>
      </c>
      <c r="G66">
        <f t="shared" si="4"/>
        <v>88613.382399999973</v>
      </c>
    </row>
    <row r="67" spans="1:7" x14ac:dyDescent="0.3">
      <c r="A67">
        <v>61</v>
      </c>
      <c r="B67">
        <v>696</v>
      </c>
      <c r="C67">
        <f t="shared" ref="C67:C101" si="5">722.8318+PRODUCT(0.349343,A67)</f>
        <v>744.14172300000007</v>
      </c>
      <c r="D67">
        <f t="shared" ref="D67:D101" si="6">B67-C67</f>
        <v>-48.14172300000007</v>
      </c>
      <c r="E67">
        <f t="shared" ref="E67:E101" si="7">PRODUCT(D67,D67)</f>
        <v>2317.6254934087356</v>
      </c>
      <c r="F67">
        <f t="shared" ref="F67:F101" si="8">B67-922.68</f>
        <v>-226.67999999999995</v>
      </c>
      <c r="G67">
        <f t="shared" ref="G67:G101" si="9">PRODUCT(F67,F67)</f>
        <v>51383.822399999975</v>
      </c>
    </row>
    <row r="68" spans="1:7" x14ac:dyDescent="0.3">
      <c r="A68">
        <v>3345</v>
      </c>
      <c r="B68">
        <v>2358</v>
      </c>
      <c r="C68">
        <f t="shared" si="5"/>
        <v>1891.3841350000002</v>
      </c>
      <c r="D68">
        <f t="shared" si="6"/>
        <v>466.61586499999976</v>
      </c>
      <c r="E68">
        <f t="shared" si="7"/>
        <v>217730.36546969801</v>
      </c>
      <c r="F68">
        <f t="shared" si="8"/>
        <v>1435.3200000000002</v>
      </c>
      <c r="G68">
        <f t="shared" si="9"/>
        <v>2060143.5024000006</v>
      </c>
    </row>
    <row r="69" spans="1:7" x14ac:dyDescent="0.3">
      <c r="A69">
        <v>1231</v>
      </c>
      <c r="B69">
        <v>1456</v>
      </c>
      <c r="C69">
        <f t="shared" si="5"/>
        <v>1152.8730330000001</v>
      </c>
      <c r="D69">
        <f t="shared" si="6"/>
        <v>303.12696699999992</v>
      </c>
      <c r="E69">
        <f t="shared" si="7"/>
        <v>91885.958122619035</v>
      </c>
      <c r="F69">
        <f t="shared" si="8"/>
        <v>533.32000000000005</v>
      </c>
      <c r="G69">
        <f t="shared" si="9"/>
        <v>284430.22240000003</v>
      </c>
    </row>
    <row r="70" spans="1:7" x14ac:dyDescent="0.3">
      <c r="A70">
        <v>305</v>
      </c>
      <c r="B70">
        <v>1038</v>
      </c>
      <c r="C70">
        <f t="shared" si="5"/>
        <v>829.38141500000006</v>
      </c>
      <c r="D70">
        <f t="shared" si="6"/>
        <v>208.61858499999994</v>
      </c>
      <c r="E70">
        <f t="shared" si="7"/>
        <v>43521.714007402203</v>
      </c>
      <c r="F70">
        <f t="shared" si="8"/>
        <v>115.32000000000005</v>
      </c>
      <c r="G70">
        <f t="shared" si="9"/>
        <v>13298.702400000011</v>
      </c>
    </row>
    <row r="71" spans="1:7" x14ac:dyDescent="0.3">
      <c r="A71">
        <v>242</v>
      </c>
      <c r="B71">
        <v>1222</v>
      </c>
      <c r="C71">
        <f t="shared" si="5"/>
        <v>807.37280600000008</v>
      </c>
      <c r="D71">
        <f t="shared" si="6"/>
        <v>414.62719399999992</v>
      </c>
      <c r="E71">
        <f t="shared" si="7"/>
        <v>171915.71000431356</v>
      </c>
      <c r="F71">
        <f t="shared" si="8"/>
        <v>299.32000000000005</v>
      </c>
      <c r="G71">
        <f t="shared" si="9"/>
        <v>89592.462400000033</v>
      </c>
    </row>
    <row r="72" spans="1:7" x14ac:dyDescent="0.3">
      <c r="A72">
        <v>681</v>
      </c>
      <c r="B72">
        <v>1020</v>
      </c>
      <c r="C72">
        <f t="shared" si="5"/>
        <v>960.73438300000009</v>
      </c>
      <c r="D72">
        <f t="shared" si="6"/>
        <v>59.265616999999907</v>
      </c>
      <c r="E72">
        <f t="shared" si="7"/>
        <v>3512.4133583906778</v>
      </c>
      <c r="F72">
        <f t="shared" si="8"/>
        <v>97.32000000000005</v>
      </c>
      <c r="G72">
        <f t="shared" si="9"/>
        <v>9471.1824000000106</v>
      </c>
    </row>
    <row r="73" spans="1:7" x14ac:dyDescent="0.3">
      <c r="A73">
        <v>975</v>
      </c>
      <c r="B73">
        <v>1401</v>
      </c>
      <c r="C73">
        <f t="shared" si="5"/>
        <v>1063.441225</v>
      </c>
      <c r="D73">
        <f t="shared" si="6"/>
        <v>337.55877499999997</v>
      </c>
      <c r="E73">
        <f t="shared" si="7"/>
        <v>113945.92657950061</v>
      </c>
      <c r="F73">
        <f t="shared" si="8"/>
        <v>478.32000000000005</v>
      </c>
      <c r="G73">
        <f t="shared" si="9"/>
        <v>228790.02240000005</v>
      </c>
    </row>
    <row r="74" spans="1:7" x14ac:dyDescent="0.3">
      <c r="A74">
        <v>44</v>
      </c>
      <c r="B74">
        <v>881</v>
      </c>
      <c r="C74">
        <f t="shared" si="5"/>
        <v>738.20289200000002</v>
      </c>
      <c r="D74">
        <f t="shared" si="6"/>
        <v>142.79710799999998</v>
      </c>
      <c r="E74">
        <f t="shared" si="7"/>
        <v>20391.014053163657</v>
      </c>
      <c r="F74">
        <f t="shared" si="8"/>
        <v>-41.67999999999995</v>
      </c>
      <c r="G74">
        <f t="shared" si="9"/>
        <v>1737.2223999999958</v>
      </c>
    </row>
    <row r="75" spans="1:7" x14ac:dyDescent="0.3">
      <c r="A75">
        <v>46</v>
      </c>
      <c r="B75">
        <v>679</v>
      </c>
      <c r="C75">
        <f t="shared" si="5"/>
        <v>738.90157800000009</v>
      </c>
      <c r="D75">
        <f t="shared" si="6"/>
        <v>-59.901578000000086</v>
      </c>
      <c r="E75">
        <f t="shared" si="7"/>
        <v>3588.1990468900945</v>
      </c>
      <c r="F75">
        <f t="shared" si="8"/>
        <v>-243.67999999999995</v>
      </c>
      <c r="G75">
        <f t="shared" si="9"/>
        <v>59379.942399999978</v>
      </c>
    </row>
    <row r="76" spans="1:7" x14ac:dyDescent="0.3">
      <c r="A76">
        <v>264</v>
      </c>
      <c r="B76">
        <v>886</v>
      </c>
      <c r="C76">
        <f t="shared" si="5"/>
        <v>815.05835200000001</v>
      </c>
      <c r="D76">
        <f t="shared" si="6"/>
        <v>70.941647999999986</v>
      </c>
      <c r="E76">
        <f t="shared" si="7"/>
        <v>5032.7174209559025</v>
      </c>
      <c r="F76">
        <f t="shared" si="8"/>
        <v>-36.67999999999995</v>
      </c>
      <c r="G76">
        <f t="shared" si="9"/>
        <v>1345.4223999999963</v>
      </c>
    </row>
    <row r="77" spans="1:7" x14ac:dyDescent="0.3">
      <c r="A77">
        <v>740</v>
      </c>
      <c r="B77">
        <v>841</v>
      </c>
      <c r="C77">
        <f t="shared" si="5"/>
        <v>981.34562000000005</v>
      </c>
      <c r="D77">
        <f t="shared" si="6"/>
        <v>-140.34562000000005</v>
      </c>
      <c r="E77">
        <f t="shared" si="7"/>
        <v>19696.893053184416</v>
      </c>
      <c r="F77">
        <f t="shared" si="8"/>
        <v>-81.67999999999995</v>
      </c>
      <c r="G77">
        <f t="shared" si="9"/>
        <v>6671.622399999992</v>
      </c>
    </row>
    <row r="78" spans="1:7" x14ac:dyDescent="0.3">
      <c r="A78">
        <v>392</v>
      </c>
      <c r="B78">
        <v>470</v>
      </c>
      <c r="C78">
        <f t="shared" si="5"/>
        <v>859.77425600000004</v>
      </c>
      <c r="D78">
        <f t="shared" si="6"/>
        <v>-389.77425600000004</v>
      </c>
      <c r="E78">
        <f t="shared" si="7"/>
        <v>151923.97064035357</v>
      </c>
      <c r="F78">
        <f t="shared" si="8"/>
        <v>-452.67999999999995</v>
      </c>
      <c r="G78">
        <f t="shared" si="9"/>
        <v>204919.18239999996</v>
      </c>
    </row>
    <row r="79" spans="1:7" x14ac:dyDescent="0.3">
      <c r="A79">
        <v>345</v>
      </c>
      <c r="B79">
        <v>883</v>
      </c>
      <c r="C79">
        <f t="shared" si="5"/>
        <v>843.35513500000002</v>
      </c>
      <c r="D79">
        <f t="shared" si="6"/>
        <v>39.644864999999982</v>
      </c>
      <c r="E79">
        <f t="shared" si="7"/>
        <v>1571.7153208682234</v>
      </c>
      <c r="F79">
        <f t="shared" si="8"/>
        <v>-39.67999999999995</v>
      </c>
      <c r="G79">
        <f t="shared" si="9"/>
        <v>1574.502399999996</v>
      </c>
    </row>
    <row r="80" spans="1:7" x14ac:dyDescent="0.3">
      <c r="A80">
        <v>981</v>
      </c>
      <c r="B80">
        <v>1290</v>
      </c>
      <c r="C80">
        <f t="shared" si="5"/>
        <v>1065.5372830000001</v>
      </c>
      <c r="D80">
        <f t="shared" si="6"/>
        <v>224.46271699999988</v>
      </c>
      <c r="E80">
        <f t="shared" si="7"/>
        <v>50383.511323022038</v>
      </c>
      <c r="F80">
        <f t="shared" si="8"/>
        <v>367.32000000000005</v>
      </c>
      <c r="G80">
        <f t="shared" si="9"/>
        <v>134923.98240000004</v>
      </c>
    </row>
    <row r="81" spans="1:7" x14ac:dyDescent="0.3">
      <c r="A81">
        <v>558</v>
      </c>
      <c r="B81">
        <v>1427</v>
      </c>
      <c r="C81">
        <f t="shared" si="5"/>
        <v>917.76519400000006</v>
      </c>
      <c r="D81">
        <f t="shared" si="6"/>
        <v>509.23480599999994</v>
      </c>
      <c r="E81">
        <f t="shared" si="7"/>
        <v>259320.08764185756</v>
      </c>
      <c r="F81">
        <f t="shared" si="8"/>
        <v>504.32000000000005</v>
      </c>
      <c r="G81">
        <f t="shared" si="9"/>
        <v>254338.66240000006</v>
      </c>
    </row>
    <row r="82" spans="1:7" x14ac:dyDescent="0.3">
      <c r="A82">
        <v>248</v>
      </c>
      <c r="B82">
        <v>696</v>
      </c>
      <c r="C82">
        <f t="shared" si="5"/>
        <v>809.46886400000005</v>
      </c>
      <c r="D82">
        <f t="shared" si="6"/>
        <v>-113.46886400000005</v>
      </c>
      <c r="E82">
        <f t="shared" si="7"/>
        <v>12875.183097450508</v>
      </c>
      <c r="F82">
        <f t="shared" si="8"/>
        <v>-226.67999999999995</v>
      </c>
      <c r="G82">
        <f t="shared" si="9"/>
        <v>51383.822399999975</v>
      </c>
    </row>
    <row r="83" spans="1:7" x14ac:dyDescent="0.3">
      <c r="A83">
        <v>10</v>
      </c>
      <c r="B83">
        <v>297</v>
      </c>
      <c r="C83">
        <f t="shared" si="5"/>
        <v>726.32523000000003</v>
      </c>
      <c r="D83">
        <f t="shared" si="6"/>
        <v>-429.32523000000003</v>
      </c>
      <c r="E83">
        <f t="shared" si="7"/>
        <v>184320.15311455293</v>
      </c>
      <c r="F83">
        <f t="shared" si="8"/>
        <v>-625.67999999999995</v>
      </c>
      <c r="G83">
        <f t="shared" si="9"/>
        <v>391475.46239999996</v>
      </c>
    </row>
    <row r="84" spans="1:7" x14ac:dyDescent="0.3">
      <c r="A84">
        <v>209</v>
      </c>
      <c r="B84">
        <v>813</v>
      </c>
      <c r="C84">
        <f t="shared" si="5"/>
        <v>795.84448700000007</v>
      </c>
      <c r="D84">
        <f t="shared" si="6"/>
        <v>17.155512999999928</v>
      </c>
      <c r="E84">
        <f t="shared" si="7"/>
        <v>294.31162629316651</v>
      </c>
      <c r="F84">
        <f t="shared" si="8"/>
        <v>-109.67999999999995</v>
      </c>
      <c r="G84">
        <f t="shared" si="9"/>
        <v>12029.702399999989</v>
      </c>
    </row>
    <row r="85" spans="1:7" x14ac:dyDescent="0.3">
      <c r="A85">
        <v>567</v>
      </c>
      <c r="B85">
        <v>874</v>
      </c>
      <c r="C85">
        <f t="shared" si="5"/>
        <v>920.90928100000008</v>
      </c>
      <c r="D85">
        <f t="shared" si="6"/>
        <v>-46.909281000000078</v>
      </c>
      <c r="E85">
        <f t="shared" si="7"/>
        <v>2200.4806439369681</v>
      </c>
      <c r="F85">
        <f t="shared" si="8"/>
        <v>-48.67999999999995</v>
      </c>
      <c r="G85">
        <f t="shared" si="9"/>
        <v>2369.7423999999951</v>
      </c>
    </row>
    <row r="86" spans="1:7" x14ac:dyDescent="0.3">
      <c r="A86">
        <v>614</v>
      </c>
      <c r="B86">
        <v>1226</v>
      </c>
      <c r="C86">
        <f t="shared" si="5"/>
        <v>937.3284020000001</v>
      </c>
      <c r="D86">
        <f t="shared" si="6"/>
        <v>288.6715979999999</v>
      </c>
      <c r="E86">
        <f t="shared" si="7"/>
        <v>83331.291491873548</v>
      </c>
      <c r="F86">
        <f t="shared" si="8"/>
        <v>303.32000000000005</v>
      </c>
      <c r="G86">
        <f t="shared" si="9"/>
        <v>92003.022400000031</v>
      </c>
    </row>
    <row r="87" spans="1:7" x14ac:dyDescent="0.3">
      <c r="A87">
        <v>11</v>
      </c>
      <c r="B87">
        <v>453</v>
      </c>
      <c r="C87">
        <f t="shared" si="5"/>
        <v>726.67457300000001</v>
      </c>
      <c r="D87">
        <f t="shared" si="6"/>
        <v>-273.67457300000001</v>
      </c>
      <c r="E87">
        <f t="shared" si="7"/>
        <v>74897.771906732334</v>
      </c>
      <c r="F87">
        <f t="shared" si="8"/>
        <v>-469.67999999999995</v>
      </c>
      <c r="G87">
        <f t="shared" si="9"/>
        <v>220599.30239999996</v>
      </c>
    </row>
    <row r="88" spans="1:7" x14ac:dyDescent="0.3">
      <c r="A88">
        <v>123</v>
      </c>
      <c r="B88">
        <v>359</v>
      </c>
      <c r="C88">
        <f t="shared" si="5"/>
        <v>765.80098900000007</v>
      </c>
      <c r="D88">
        <f t="shared" si="6"/>
        <v>-406.80098900000007</v>
      </c>
      <c r="E88">
        <f t="shared" si="7"/>
        <v>165487.04465137818</v>
      </c>
      <c r="F88">
        <f t="shared" si="8"/>
        <v>-563.67999999999995</v>
      </c>
      <c r="G88">
        <f t="shared" si="9"/>
        <v>317735.14239999995</v>
      </c>
    </row>
    <row r="89" spans="1:7" x14ac:dyDescent="0.3">
      <c r="A89">
        <v>1536</v>
      </c>
      <c r="B89">
        <v>1304</v>
      </c>
      <c r="C89">
        <f t="shared" si="5"/>
        <v>1259.4226480000002</v>
      </c>
      <c r="D89">
        <f t="shared" si="6"/>
        <v>44.577351999999792</v>
      </c>
      <c r="E89">
        <f t="shared" si="7"/>
        <v>1987.1403113318854</v>
      </c>
      <c r="F89">
        <f t="shared" si="8"/>
        <v>381.32000000000005</v>
      </c>
      <c r="G89">
        <f t="shared" si="9"/>
        <v>145404.94240000003</v>
      </c>
    </row>
    <row r="90" spans="1:7" x14ac:dyDescent="0.3">
      <c r="A90">
        <v>192</v>
      </c>
      <c r="B90">
        <v>905</v>
      </c>
      <c r="C90">
        <f t="shared" si="5"/>
        <v>789.90565600000002</v>
      </c>
      <c r="D90">
        <f t="shared" si="6"/>
        <v>115.09434399999998</v>
      </c>
      <c r="E90">
        <f t="shared" si="7"/>
        <v>13246.708020790331</v>
      </c>
      <c r="F90">
        <f t="shared" si="8"/>
        <v>-17.67999999999995</v>
      </c>
      <c r="G90">
        <f t="shared" si="9"/>
        <v>312.58239999999824</v>
      </c>
    </row>
    <row r="91" spans="1:7" x14ac:dyDescent="0.3">
      <c r="A91">
        <v>550</v>
      </c>
      <c r="B91">
        <v>1418</v>
      </c>
      <c r="C91">
        <f t="shared" si="5"/>
        <v>914.97045000000003</v>
      </c>
      <c r="D91">
        <f t="shared" si="6"/>
        <v>503.02954999999997</v>
      </c>
      <c r="E91">
        <f t="shared" si="7"/>
        <v>253038.72817320249</v>
      </c>
      <c r="F91">
        <f t="shared" si="8"/>
        <v>495.32000000000005</v>
      </c>
      <c r="G91">
        <f t="shared" si="9"/>
        <v>245341.90240000005</v>
      </c>
    </row>
    <row r="92" spans="1:7" x14ac:dyDescent="0.3">
      <c r="A92">
        <v>968</v>
      </c>
      <c r="B92">
        <v>1309</v>
      </c>
      <c r="C92">
        <f t="shared" si="5"/>
        <v>1060.9958240000001</v>
      </c>
      <c r="D92">
        <f t="shared" si="6"/>
        <v>248.00417599999992</v>
      </c>
      <c r="E92">
        <f t="shared" si="7"/>
        <v>61506.071313438937</v>
      </c>
      <c r="F92">
        <f t="shared" si="8"/>
        <v>386.32000000000005</v>
      </c>
      <c r="G92">
        <f t="shared" si="9"/>
        <v>149243.14240000004</v>
      </c>
    </row>
    <row r="93" spans="1:7" x14ac:dyDescent="0.3">
      <c r="A93">
        <v>302</v>
      </c>
      <c r="B93">
        <v>321</v>
      </c>
      <c r="C93">
        <f t="shared" si="5"/>
        <v>828.33338600000002</v>
      </c>
      <c r="D93">
        <f t="shared" si="6"/>
        <v>-507.33338600000002</v>
      </c>
      <c r="E93">
        <f t="shared" si="7"/>
        <v>257387.16455022502</v>
      </c>
      <c r="F93">
        <f t="shared" si="8"/>
        <v>-601.67999999999995</v>
      </c>
      <c r="G93">
        <f t="shared" si="9"/>
        <v>362018.82239999995</v>
      </c>
    </row>
    <row r="94" spans="1:7" x14ac:dyDescent="0.3">
      <c r="A94">
        <v>151</v>
      </c>
      <c r="B94">
        <v>975</v>
      </c>
      <c r="C94">
        <f t="shared" si="5"/>
        <v>775.58259300000009</v>
      </c>
      <c r="D94">
        <f t="shared" si="6"/>
        <v>199.41740699999991</v>
      </c>
      <c r="E94">
        <f t="shared" si="7"/>
        <v>39767.302214603616</v>
      </c>
      <c r="F94">
        <f t="shared" si="8"/>
        <v>52.32000000000005</v>
      </c>
      <c r="G94">
        <f t="shared" si="9"/>
        <v>2737.3824000000054</v>
      </c>
    </row>
    <row r="95" spans="1:7" x14ac:dyDescent="0.3">
      <c r="A95">
        <v>146</v>
      </c>
      <c r="B95">
        <v>847</v>
      </c>
      <c r="C95">
        <f t="shared" si="5"/>
        <v>773.83587800000009</v>
      </c>
      <c r="D95">
        <f t="shared" si="6"/>
        <v>73.164121999999907</v>
      </c>
      <c r="E95">
        <f t="shared" si="7"/>
        <v>5352.9887480308707</v>
      </c>
      <c r="F95">
        <f t="shared" si="8"/>
        <v>-75.67999999999995</v>
      </c>
      <c r="G95">
        <f t="shared" si="9"/>
        <v>5727.4623999999922</v>
      </c>
    </row>
    <row r="96" spans="1:7" x14ac:dyDescent="0.3">
      <c r="A96">
        <v>150</v>
      </c>
      <c r="B96">
        <v>750</v>
      </c>
      <c r="C96">
        <f t="shared" si="5"/>
        <v>775.23325</v>
      </c>
      <c r="D96">
        <f t="shared" si="6"/>
        <v>-25.233249999999998</v>
      </c>
      <c r="E96">
        <f t="shared" si="7"/>
        <v>636.71690556249996</v>
      </c>
      <c r="F96">
        <f t="shared" si="8"/>
        <v>-172.67999999999995</v>
      </c>
      <c r="G96">
        <f t="shared" si="9"/>
        <v>29818.382399999984</v>
      </c>
    </row>
    <row r="97" spans="1:7" x14ac:dyDescent="0.3">
      <c r="A97">
        <v>974</v>
      </c>
      <c r="B97">
        <v>973</v>
      </c>
      <c r="C97">
        <f t="shared" si="5"/>
        <v>1063.0918820000002</v>
      </c>
      <c r="D97">
        <f t="shared" si="6"/>
        <v>-90.091882000000169</v>
      </c>
      <c r="E97">
        <f t="shared" si="7"/>
        <v>8116.5472023019547</v>
      </c>
      <c r="F97">
        <f t="shared" si="8"/>
        <v>50.32000000000005</v>
      </c>
      <c r="G97">
        <f t="shared" si="9"/>
        <v>2532.1024000000052</v>
      </c>
    </row>
    <row r="98" spans="1:7" x14ac:dyDescent="0.3">
      <c r="A98">
        <v>1383</v>
      </c>
      <c r="B98">
        <v>1035</v>
      </c>
      <c r="C98">
        <f t="shared" si="5"/>
        <v>1205.9731690000001</v>
      </c>
      <c r="D98">
        <f t="shared" si="6"/>
        <v>-170.9731690000001</v>
      </c>
      <c r="E98">
        <f t="shared" si="7"/>
        <v>29231.824517902594</v>
      </c>
      <c r="F98">
        <f t="shared" si="8"/>
        <v>112.32000000000005</v>
      </c>
      <c r="G98">
        <f t="shared" si="9"/>
        <v>12615.782400000011</v>
      </c>
    </row>
    <row r="99" spans="1:7" x14ac:dyDescent="0.3">
      <c r="A99">
        <v>146</v>
      </c>
      <c r="B99">
        <v>1146</v>
      </c>
      <c r="C99">
        <f t="shared" si="5"/>
        <v>773.83587800000009</v>
      </c>
      <c r="D99">
        <f t="shared" si="6"/>
        <v>372.16412199999991</v>
      </c>
      <c r="E99">
        <f t="shared" si="7"/>
        <v>138506.13370403083</v>
      </c>
      <c r="F99">
        <f t="shared" si="8"/>
        <v>223.32000000000005</v>
      </c>
      <c r="G99">
        <f t="shared" si="9"/>
        <v>49871.822400000019</v>
      </c>
    </row>
    <row r="100" spans="1:7" x14ac:dyDescent="0.3">
      <c r="A100">
        <v>107</v>
      </c>
      <c r="B100">
        <v>702</v>
      </c>
      <c r="C100">
        <f t="shared" si="5"/>
        <v>760.211501</v>
      </c>
      <c r="D100">
        <f t="shared" si="6"/>
        <v>-58.211500999999998</v>
      </c>
      <c r="E100">
        <f t="shared" si="7"/>
        <v>3388.5788486730007</v>
      </c>
      <c r="F100">
        <f t="shared" si="8"/>
        <v>-220.67999999999995</v>
      </c>
      <c r="G100">
        <f t="shared" si="9"/>
        <v>48699.662399999979</v>
      </c>
    </row>
    <row r="101" spans="1:7" x14ac:dyDescent="0.3">
      <c r="A101">
        <v>4</v>
      </c>
      <c r="B101">
        <v>483</v>
      </c>
      <c r="C101">
        <f t="shared" si="5"/>
        <v>724.22917200000006</v>
      </c>
      <c r="D101">
        <f t="shared" si="6"/>
        <v>-241.22917200000006</v>
      </c>
      <c r="E101">
        <f t="shared" si="7"/>
        <v>58191.513423805613</v>
      </c>
      <c r="F101">
        <f t="shared" si="8"/>
        <v>-439.67999999999995</v>
      </c>
      <c r="G101">
        <f t="shared" si="9"/>
        <v>193318.50239999997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B6898-FE94-4AC5-AD7A-BD6AA526F85E}">
  <dimension ref="A1:L101"/>
  <sheetViews>
    <sheetView workbookViewId="0">
      <selection activeCell="P10" sqref="P10"/>
    </sheetView>
  </sheetViews>
  <sheetFormatPr defaultRowHeight="14.4" x14ac:dyDescent="0.3"/>
  <cols>
    <col min="11" max="11" width="11" bestFit="1" customWidth="1"/>
  </cols>
  <sheetData>
    <row r="1" spans="1:12" x14ac:dyDescent="0.3">
      <c r="A1" t="s">
        <v>3</v>
      </c>
      <c r="B1" t="s">
        <v>6</v>
      </c>
      <c r="C1" t="s">
        <v>30</v>
      </c>
      <c r="D1" t="s">
        <v>38</v>
      </c>
      <c r="E1" t="s">
        <v>39</v>
      </c>
      <c r="F1" t="s">
        <v>40</v>
      </c>
      <c r="G1" t="s">
        <v>41</v>
      </c>
      <c r="J1" t="s">
        <v>37</v>
      </c>
    </row>
    <row r="2" spans="1:12" x14ac:dyDescent="0.3">
      <c r="A2">
        <v>15.1</v>
      </c>
      <c r="B2">
        <v>1176</v>
      </c>
      <c r="C2">
        <f>503.5329+PRODUCT(A2,21.10428)</f>
        <v>822.20752799999991</v>
      </c>
      <c r="D2">
        <f>B2-C2</f>
        <v>353.79247200000009</v>
      </c>
      <c r="E2">
        <f>PRODUCT(D2,D2)</f>
        <v>125169.11324387084</v>
      </c>
      <c r="F2">
        <f>B2-922.68</f>
        <v>253.32000000000005</v>
      </c>
      <c r="G2">
        <f xml:space="preserve"> PRODUCT(F2,F2)</f>
        <v>64171.022400000023</v>
      </c>
      <c r="J2">
        <v>922.68</v>
      </c>
    </row>
    <row r="3" spans="1:12" x14ac:dyDescent="0.3">
      <c r="A3">
        <v>14</v>
      </c>
      <c r="B3">
        <v>663</v>
      </c>
      <c r="C3">
        <f t="shared" ref="C3:C66" si="0">503.5329+PRODUCT(A3,21.10428)</f>
        <v>798.99281999999994</v>
      </c>
      <c r="D3">
        <f t="shared" ref="D3:D66" si="1">B3-C3</f>
        <v>-135.99281999999994</v>
      </c>
      <c r="E3">
        <f t="shared" ref="E3:E66" si="2">PRODUCT(D3,D3)</f>
        <v>18494.047091552384</v>
      </c>
      <c r="F3">
        <f t="shared" ref="F3:F66" si="3">B3-922.68</f>
        <v>-259.67999999999995</v>
      </c>
      <c r="G3">
        <f t="shared" ref="G3:G66" si="4" xml:space="preserve"> PRODUCT(F3,F3)</f>
        <v>67433.70239999998</v>
      </c>
    </row>
    <row r="4" spans="1:12" x14ac:dyDescent="0.3">
      <c r="A4">
        <v>5.9</v>
      </c>
      <c r="B4">
        <v>464</v>
      </c>
      <c r="C4">
        <f t="shared" si="0"/>
        <v>628.04815199999996</v>
      </c>
      <c r="D4">
        <f t="shared" si="1"/>
        <v>-164.04815199999996</v>
      </c>
      <c r="E4">
        <f t="shared" si="2"/>
        <v>26911.79617461509</v>
      </c>
      <c r="F4">
        <f t="shared" si="3"/>
        <v>-458.67999999999995</v>
      </c>
      <c r="G4">
        <f t="shared" si="4"/>
        <v>210387.34239999996</v>
      </c>
    </row>
    <row r="5" spans="1:12" x14ac:dyDescent="0.3">
      <c r="A5">
        <v>14.8</v>
      </c>
      <c r="B5">
        <v>693</v>
      </c>
      <c r="C5">
        <f t="shared" si="0"/>
        <v>815.87624400000004</v>
      </c>
      <c r="D5">
        <f t="shared" si="1"/>
        <v>-122.87624400000004</v>
      </c>
      <c r="E5">
        <f t="shared" si="2"/>
        <v>15098.571339547547</v>
      </c>
      <c r="F5">
        <f t="shared" si="3"/>
        <v>-229.67999999999995</v>
      </c>
      <c r="G5">
        <f t="shared" si="4"/>
        <v>52752.902399999977</v>
      </c>
    </row>
    <row r="6" spans="1:12" x14ac:dyDescent="0.3">
      <c r="A6">
        <v>1.7</v>
      </c>
      <c r="B6">
        <v>800</v>
      </c>
      <c r="C6">
        <f t="shared" si="0"/>
        <v>539.41017599999998</v>
      </c>
      <c r="D6">
        <f t="shared" si="1"/>
        <v>260.58982400000002</v>
      </c>
      <c r="E6">
        <f t="shared" si="2"/>
        <v>67907.056372350984</v>
      </c>
      <c r="F6">
        <f t="shared" si="3"/>
        <v>-122.67999999999995</v>
      </c>
      <c r="G6">
        <f t="shared" si="4"/>
        <v>15050.382399999988</v>
      </c>
    </row>
    <row r="7" spans="1:12" x14ac:dyDescent="0.3">
      <c r="A7">
        <v>7.7</v>
      </c>
      <c r="B7">
        <v>604</v>
      </c>
      <c r="C7">
        <f t="shared" si="0"/>
        <v>666.03585599999997</v>
      </c>
      <c r="D7">
        <f t="shared" si="1"/>
        <v>-62.035855999999967</v>
      </c>
      <c r="E7">
        <f t="shared" si="2"/>
        <v>3848.4474296527319</v>
      </c>
      <c r="F7">
        <f t="shared" si="3"/>
        <v>-318.67999999999995</v>
      </c>
      <c r="G7">
        <f t="shared" si="4"/>
        <v>101556.94239999997</v>
      </c>
      <c r="J7" t="s">
        <v>34</v>
      </c>
      <c r="K7" t="s">
        <v>21</v>
      </c>
      <c r="L7" s="1">
        <v>2</v>
      </c>
    </row>
    <row r="8" spans="1:12" x14ac:dyDescent="0.3">
      <c r="A8">
        <v>12.6</v>
      </c>
      <c r="B8">
        <v>311</v>
      </c>
      <c r="C8">
        <f t="shared" si="0"/>
        <v>769.44682799999998</v>
      </c>
      <c r="D8">
        <f t="shared" si="1"/>
        <v>-458.44682799999998</v>
      </c>
      <c r="E8">
        <f t="shared" si="2"/>
        <v>210173.49410326156</v>
      </c>
      <c r="F8">
        <f t="shared" si="3"/>
        <v>-611.67999999999995</v>
      </c>
      <c r="G8">
        <f t="shared" si="4"/>
        <v>374152.42239999992</v>
      </c>
      <c r="J8">
        <f>SUM(E2:E101)</f>
        <v>5624756.3129487103</v>
      </c>
      <c r="K8">
        <f>SUM(G2:G101)</f>
        <v>11838685.760000002</v>
      </c>
      <c r="L8">
        <f>1-(J8/K8)</f>
        <v>0.52488338427282411</v>
      </c>
    </row>
    <row r="9" spans="1:12" x14ac:dyDescent="0.3">
      <c r="A9">
        <v>12.3</v>
      </c>
      <c r="B9">
        <v>838</v>
      </c>
      <c r="C9">
        <f t="shared" si="0"/>
        <v>763.115544</v>
      </c>
      <c r="D9">
        <f t="shared" si="1"/>
        <v>74.884456</v>
      </c>
      <c r="E9">
        <f t="shared" si="2"/>
        <v>5607.6817504159362</v>
      </c>
      <c r="F9">
        <f t="shared" si="3"/>
        <v>-84.67999999999995</v>
      </c>
      <c r="G9">
        <f t="shared" si="4"/>
        <v>7170.7023999999919</v>
      </c>
    </row>
    <row r="10" spans="1:12" x14ac:dyDescent="0.3">
      <c r="A10">
        <v>31.4</v>
      </c>
      <c r="B10">
        <v>1269</v>
      </c>
      <c r="C10">
        <f t="shared" si="0"/>
        <v>1166.2072919999998</v>
      </c>
      <c r="D10">
        <f t="shared" si="1"/>
        <v>102.79270800000018</v>
      </c>
      <c r="E10">
        <f t="shared" si="2"/>
        <v>10566.3408179733</v>
      </c>
      <c r="F10">
        <f t="shared" si="3"/>
        <v>346.32000000000005</v>
      </c>
      <c r="G10">
        <f t="shared" si="4"/>
        <v>119937.54240000003</v>
      </c>
    </row>
    <row r="11" spans="1:12" x14ac:dyDescent="0.3">
      <c r="A11">
        <v>10.6</v>
      </c>
      <c r="B11">
        <v>735</v>
      </c>
      <c r="C11">
        <f t="shared" si="0"/>
        <v>727.23826799999995</v>
      </c>
      <c r="D11">
        <f t="shared" si="1"/>
        <v>7.7617320000000518</v>
      </c>
      <c r="E11">
        <f t="shared" si="2"/>
        <v>60.244483639824807</v>
      </c>
      <c r="F11">
        <f t="shared" si="3"/>
        <v>-187.67999999999995</v>
      </c>
      <c r="G11">
        <f t="shared" si="4"/>
        <v>35223.782399999982</v>
      </c>
    </row>
    <row r="12" spans="1:12" x14ac:dyDescent="0.3">
      <c r="A12">
        <v>8</v>
      </c>
      <c r="B12">
        <v>563</v>
      </c>
      <c r="C12">
        <f t="shared" si="0"/>
        <v>672.36713999999995</v>
      </c>
      <c r="D12">
        <f t="shared" si="1"/>
        <v>-109.36713999999995</v>
      </c>
      <c r="E12">
        <f t="shared" si="2"/>
        <v>11961.17131177959</v>
      </c>
      <c r="F12">
        <f t="shared" si="3"/>
        <v>-359.67999999999995</v>
      </c>
      <c r="G12">
        <f t="shared" si="4"/>
        <v>129369.70239999997</v>
      </c>
    </row>
    <row r="13" spans="1:12" x14ac:dyDescent="0.3">
      <c r="A13">
        <v>29.8</v>
      </c>
      <c r="B13">
        <v>1028</v>
      </c>
      <c r="C13">
        <f t="shared" si="0"/>
        <v>1132.4404440000001</v>
      </c>
      <c r="D13">
        <f t="shared" si="1"/>
        <v>-104.44044400000007</v>
      </c>
      <c r="E13">
        <f t="shared" si="2"/>
        <v>10907.806342917151</v>
      </c>
      <c r="F13">
        <f t="shared" si="3"/>
        <v>105.32000000000005</v>
      </c>
      <c r="G13">
        <f t="shared" si="4"/>
        <v>11092.302400000011</v>
      </c>
    </row>
    <row r="14" spans="1:12" x14ac:dyDescent="0.3">
      <c r="A14">
        <v>10.8</v>
      </c>
      <c r="B14">
        <v>560</v>
      </c>
      <c r="C14">
        <f t="shared" si="0"/>
        <v>731.45912399999997</v>
      </c>
      <c r="D14">
        <f t="shared" si="1"/>
        <v>-171.45912399999997</v>
      </c>
      <c r="E14">
        <f t="shared" si="2"/>
        <v>29398.231202847368</v>
      </c>
      <c r="F14">
        <f t="shared" si="3"/>
        <v>-362.67999999999995</v>
      </c>
      <c r="G14">
        <f t="shared" si="4"/>
        <v>131536.78239999997</v>
      </c>
    </row>
    <row r="15" spans="1:12" x14ac:dyDescent="0.3">
      <c r="A15">
        <v>13.3</v>
      </c>
      <c r="B15">
        <v>422</v>
      </c>
      <c r="C15">
        <f t="shared" si="0"/>
        <v>784.21982400000002</v>
      </c>
      <c r="D15">
        <f t="shared" si="1"/>
        <v>-362.21982400000002</v>
      </c>
      <c r="E15">
        <f t="shared" si="2"/>
        <v>131203.20089859099</v>
      </c>
      <c r="F15">
        <f t="shared" si="3"/>
        <v>-500.67999999999995</v>
      </c>
      <c r="G15">
        <f t="shared" si="4"/>
        <v>250680.46239999996</v>
      </c>
    </row>
    <row r="16" spans="1:12" x14ac:dyDescent="0.3">
      <c r="A16">
        <v>13.9</v>
      </c>
      <c r="B16">
        <v>835</v>
      </c>
      <c r="C16">
        <f t="shared" si="0"/>
        <v>796.88239199999998</v>
      </c>
      <c r="D16">
        <f t="shared" si="1"/>
        <v>38.117608000000018</v>
      </c>
      <c r="E16">
        <f t="shared" si="2"/>
        <v>1452.9520396416654</v>
      </c>
      <c r="F16">
        <f t="shared" si="3"/>
        <v>-87.67999999999995</v>
      </c>
      <c r="G16">
        <f t="shared" si="4"/>
        <v>7687.782399999991</v>
      </c>
    </row>
    <row r="17" spans="1:7" x14ac:dyDescent="0.3">
      <c r="A17">
        <v>11.4</v>
      </c>
      <c r="B17">
        <v>374</v>
      </c>
      <c r="C17">
        <f t="shared" si="0"/>
        <v>744.12169199999994</v>
      </c>
      <c r="D17">
        <f t="shared" si="1"/>
        <v>-370.12169199999994</v>
      </c>
      <c r="E17">
        <f t="shared" si="2"/>
        <v>136990.06688894282</v>
      </c>
      <c r="F17">
        <f t="shared" si="3"/>
        <v>-548.67999999999995</v>
      </c>
      <c r="G17">
        <f t="shared" si="4"/>
        <v>301049.74239999993</v>
      </c>
    </row>
    <row r="18" spans="1:7" x14ac:dyDescent="0.3">
      <c r="A18">
        <v>31.5</v>
      </c>
      <c r="B18">
        <v>1143</v>
      </c>
      <c r="C18">
        <f t="shared" si="0"/>
        <v>1168.31772</v>
      </c>
      <c r="D18">
        <f t="shared" si="1"/>
        <v>-25.317720000000008</v>
      </c>
      <c r="E18">
        <f t="shared" si="2"/>
        <v>640.98694599840042</v>
      </c>
      <c r="F18">
        <f t="shared" si="3"/>
        <v>220.32000000000005</v>
      </c>
      <c r="G18">
        <f t="shared" si="4"/>
        <v>48540.902400000021</v>
      </c>
    </row>
    <row r="19" spans="1:7" x14ac:dyDescent="0.3">
      <c r="A19">
        <v>13.9</v>
      </c>
      <c r="B19">
        <v>714</v>
      </c>
      <c r="C19">
        <f t="shared" si="0"/>
        <v>796.88239199999998</v>
      </c>
      <c r="D19">
        <f t="shared" si="1"/>
        <v>-82.882391999999982</v>
      </c>
      <c r="E19">
        <f t="shared" si="2"/>
        <v>6869.4909036416611</v>
      </c>
      <c r="F19">
        <f t="shared" si="3"/>
        <v>-208.67999999999995</v>
      </c>
      <c r="G19">
        <f t="shared" si="4"/>
        <v>43547.34239999998</v>
      </c>
    </row>
    <row r="20" spans="1:7" x14ac:dyDescent="0.3">
      <c r="A20">
        <v>14.9</v>
      </c>
      <c r="B20">
        <v>1109</v>
      </c>
      <c r="C20">
        <f t="shared" si="0"/>
        <v>817.986672</v>
      </c>
      <c r="D20">
        <f t="shared" si="1"/>
        <v>291.013328</v>
      </c>
      <c r="E20">
        <f t="shared" si="2"/>
        <v>84688.757073635585</v>
      </c>
      <c r="F20">
        <f t="shared" si="3"/>
        <v>186.32000000000005</v>
      </c>
      <c r="G20">
        <f t="shared" si="4"/>
        <v>34715.142400000019</v>
      </c>
    </row>
    <row r="21" spans="1:7" x14ac:dyDescent="0.3">
      <c r="A21">
        <v>20.6</v>
      </c>
      <c r="B21">
        <v>857</v>
      </c>
      <c r="C21">
        <f t="shared" si="0"/>
        <v>938.281068</v>
      </c>
      <c r="D21">
        <f t="shared" si="1"/>
        <v>-81.281068000000005</v>
      </c>
      <c r="E21">
        <f t="shared" si="2"/>
        <v>6606.6120152206249</v>
      </c>
      <c r="F21">
        <f t="shared" si="3"/>
        <v>-65.67999999999995</v>
      </c>
      <c r="G21">
        <f t="shared" si="4"/>
        <v>4313.8623999999936</v>
      </c>
    </row>
    <row r="22" spans="1:7" x14ac:dyDescent="0.3">
      <c r="A22">
        <v>42.5</v>
      </c>
      <c r="B22">
        <v>1176</v>
      </c>
      <c r="C22">
        <f t="shared" si="0"/>
        <v>1400.4648</v>
      </c>
      <c r="D22">
        <f t="shared" si="1"/>
        <v>-224.46479999999997</v>
      </c>
      <c r="E22">
        <f t="shared" si="2"/>
        <v>50384.446439039988</v>
      </c>
      <c r="F22">
        <f t="shared" si="3"/>
        <v>253.32000000000005</v>
      </c>
      <c r="G22">
        <f t="shared" si="4"/>
        <v>64171.022400000023</v>
      </c>
    </row>
    <row r="23" spans="1:7" x14ac:dyDescent="0.3">
      <c r="A23">
        <v>18.7</v>
      </c>
      <c r="B23">
        <v>554</v>
      </c>
      <c r="C23">
        <f t="shared" si="0"/>
        <v>898.18293599999993</v>
      </c>
      <c r="D23">
        <f t="shared" si="1"/>
        <v>-344.18293599999993</v>
      </c>
      <c r="E23">
        <f t="shared" si="2"/>
        <v>118461.89343358004</v>
      </c>
      <c r="F23">
        <f t="shared" si="3"/>
        <v>-368.67999999999995</v>
      </c>
      <c r="G23">
        <f t="shared" si="4"/>
        <v>135924.94239999997</v>
      </c>
    </row>
    <row r="24" spans="1:7" x14ac:dyDescent="0.3">
      <c r="A24">
        <v>34.200000000000003</v>
      </c>
      <c r="B24">
        <v>1591</v>
      </c>
      <c r="C24">
        <f t="shared" si="0"/>
        <v>1225.299276</v>
      </c>
      <c r="D24">
        <f t="shared" si="1"/>
        <v>365.70072400000004</v>
      </c>
      <c r="E24">
        <f t="shared" si="2"/>
        <v>133737.01953412421</v>
      </c>
      <c r="F24">
        <f t="shared" si="3"/>
        <v>668.32</v>
      </c>
      <c r="G24">
        <f t="shared" si="4"/>
        <v>446651.62240000005</v>
      </c>
    </row>
    <row r="25" spans="1:7" x14ac:dyDescent="0.3">
      <c r="A25">
        <v>10.9</v>
      </c>
      <c r="B25">
        <v>567</v>
      </c>
      <c r="C25">
        <f t="shared" si="0"/>
        <v>733.56955199999993</v>
      </c>
      <c r="D25">
        <f t="shared" si="1"/>
        <v>-166.56955199999993</v>
      </c>
      <c r="E25">
        <f t="shared" si="2"/>
        <v>27745.415653480683</v>
      </c>
      <c r="F25">
        <f t="shared" si="3"/>
        <v>-355.67999999999995</v>
      </c>
      <c r="G25">
        <f t="shared" si="4"/>
        <v>126508.26239999996</v>
      </c>
    </row>
    <row r="26" spans="1:7" x14ac:dyDescent="0.3">
      <c r="A26">
        <v>22.4</v>
      </c>
      <c r="B26">
        <v>1150</v>
      </c>
      <c r="C26">
        <f t="shared" si="0"/>
        <v>976.2687719999999</v>
      </c>
      <c r="D26">
        <f t="shared" si="1"/>
        <v>173.7312280000001</v>
      </c>
      <c r="E26">
        <f t="shared" si="2"/>
        <v>30182.539582388021</v>
      </c>
      <c r="F26">
        <f t="shared" si="3"/>
        <v>227.32000000000005</v>
      </c>
      <c r="G26">
        <f t="shared" si="4"/>
        <v>51674.382400000024</v>
      </c>
    </row>
    <row r="27" spans="1:7" x14ac:dyDescent="0.3">
      <c r="A27">
        <v>29</v>
      </c>
      <c r="B27">
        <v>887</v>
      </c>
      <c r="C27">
        <f t="shared" si="0"/>
        <v>1115.55702</v>
      </c>
      <c r="D27">
        <f t="shared" si="1"/>
        <v>-228.55701999999997</v>
      </c>
      <c r="E27">
        <f t="shared" si="2"/>
        <v>52238.311391280382</v>
      </c>
      <c r="F27">
        <f t="shared" si="3"/>
        <v>-35.67999999999995</v>
      </c>
      <c r="G27">
        <f t="shared" si="4"/>
        <v>1273.0623999999964</v>
      </c>
    </row>
    <row r="28" spans="1:7" x14ac:dyDescent="0.3">
      <c r="A28">
        <v>5</v>
      </c>
      <c r="B28">
        <v>718</v>
      </c>
      <c r="C28">
        <f t="shared" si="0"/>
        <v>609.05430000000001</v>
      </c>
      <c r="D28">
        <f t="shared" si="1"/>
        <v>108.94569999999999</v>
      </c>
      <c r="E28">
        <f t="shared" si="2"/>
        <v>11869.165548489997</v>
      </c>
      <c r="F28">
        <f t="shared" si="3"/>
        <v>-204.67999999999995</v>
      </c>
      <c r="G28">
        <f t="shared" si="4"/>
        <v>41893.902399999977</v>
      </c>
    </row>
    <row r="29" spans="1:7" x14ac:dyDescent="0.3">
      <c r="A29">
        <v>23.4</v>
      </c>
      <c r="B29">
        <v>1082</v>
      </c>
      <c r="C29">
        <f t="shared" si="0"/>
        <v>997.37305199999992</v>
      </c>
      <c r="D29">
        <f t="shared" si="1"/>
        <v>84.626948000000084</v>
      </c>
      <c r="E29">
        <f t="shared" si="2"/>
        <v>7161.7203277947183</v>
      </c>
      <c r="F29">
        <f t="shared" si="3"/>
        <v>159.32000000000005</v>
      </c>
      <c r="G29">
        <f t="shared" si="4"/>
        <v>25382.862400000016</v>
      </c>
    </row>
    <row r="30" spans="1:7" x14ac:dyDescent="0.3">
      <c r="A30">
        <v>25.3</v>
      </c>
      <c r="B30">
        <v>596</v>
      </c>
      <c r="C30">
        <f t="shared" si="0"/>
        <v>1037.471184</v>
      </c>
      <c r="D30">
        <f t="shared" si="1"/>
        <v>-441.47118399999999</v>
      </c>
      <c r="E30">
        <f t="shared" si="2"/>
        <v>194896.80630236186</v>
      </c>
      <c r="F30">
        <f t="shared" si="3"/>
        <v>-326.67999999999995</v>
      </c>
      <c r="G30">
        <f t="shared" si="4"/>
        <v>106719.82239999996</v>
      </c>
    </row>
    <row r="31" spans="1:7" x14ac:dyDescent="0.3">
      <c r="A31">
        <v>12.9</v>
      </c>
      <c r="B31">
        <v>1041</v>
      </c>
      <c r="C31">
        <f t="shared" si="0"/>
        <v>775.77811199999996</v>
      </c>
      <c r="D31">
        <f t="shared" si="1"/>
        <v>265.22188800000004</v>
      </c>
      <c r="E31">
        <f t="shared" si="2"/>
        <v>70342.649874284558</v>
      </c>
      <c r="F31">
        <f t="shared" si="3"/>
        <v>118.32000000000005</v>
      </c>
      <c r="G31">
        <f t="shared" si="4"/>
        <v>13999.622400000011</v>
      </c>
    </row>
    <row r="32" spans="1:7" x14ac:dyDescent="0.3">
      <c r="A32">
        <v>10.7</v>
      </c>
      <c r="B32">
        <v>510</v>
      </c>
      <c r="C32">
        <f t="shared" si="0"/>
        <v>729.34869600000002</v>
      </c>
      <c r="D32">
        <f t="shared" si="1"/>
        <v>-219.34869600000002</v>
      </c>
      <c r="E32">
        <f t="shared" si="2"/>
        <v>48113.850436900422</v>
      </c>
      <c r="F32">
        <f t="shared" si="3"/>
        <v>-412.67999999999995</v>
      </c>
      <c r="G32">
        <f t="shared" si="4"/>
        <v>170304.78239999997</v>
      </c>
    </row>
    <row r="33" spans="1:7" x14ac:dyDescent="0.3">
      <c r="A33">
        <v>18.7</v>
      </c>
      <c r="B33">
        <v>1072</v>
      </c>
      <c r="C33">
        <f t="shared" si="0"/>
        <v>898.18293599999993</v>
      </c>
      <c r="D33">
        <f t="shared" si="1"/>
        <v>173.81706400000007</v>
      </c>
      <c r="E33">
        <f t="shared" si="2"/>
        <v>30212.371737580121</v>
      </c>
      <c r="F33">
        <f t="shared" si="3"/>
        <v>149.32000000000005</v>
      </c>
      <c r="G33">
        <f t="shared" si="4"/>
        <v>22296.462400000015</v>
      </c>
    </row>
    <row r="34" spans="1:7" x14ac:dyDescent="0.3">
      <c r="A34">
        <v>19.2</v>
      </c>
      <c r="B34">
        <v>1180</v>
      </c>
      <c r="C34">
        <f t="shared" si="0"/>
        <v>908.73507599999994</v>
      </c>
      <c r="D34">
        <f t="shared" si="1"/>
        <v>271.26492400000006</v>
      </c>
      <c r="E34">
        <f t="shared" si="2"/>
        <v>73584.658992725817</v>
      </c>
      <c r="F34">
        <f t="shared" si="3"/>
        <v>257.32000000000005</v>
      </c>
      <c r="G34">
        <f t="shared" si="4"/>
        <v>66213.582400000028</v>
      </c>
    </row>
    <row r="35" spans="1:7" x14ac:dyDescent="0.3">
      <c r="A35">
        <v>19.399999999999999</v>
      </c>
      <c r="B35">
        <v>1123</v>
      </c>
      <c r="C35">
        <f t="shared" si="0"/>
        <v>912.95593199999996</v>
      </c>
      <c r="D35">
        <f t="shared" si="1"/>
        <v>210.04406800000004</v>
      </c>
      <c r="E35">
        <f t="shared" si="2"/>
        <v>44118.51050198864</v>
      </c>
      <c r="F35">
        <f t="shared" si="3"/>
        <v>200.32000000000005</v>
      </c>
      <c r="G35">
        <f t="shared" si="4"/>
        <v>40128.102400000018</v>
      </c>
    </row>
    <row r="36" spans="1:7" x14ac:dyDescent="0.3">
      <c r="A36">
        <v>22.4</v>
      </c>
      <c r="B36">
        <v>1029</v>
      </c>
      <c r="C36">
        <f t="shared" si="0"/>
        <v>976.2687719999999</v>
      </c>
      <c r="D36">
        <f t="shared" si="1"/>
        <v>52.731228000000101</v>
      </c>
      <c r="E36">
        <f t="shared" si="2"/>
        <v>2780.5824063879945</v>
      </c>
      <c r="F36">
        <f t="shared" si="3"/>
        <v>106.32000000000005</v>
      </c>
      <c r="G36">
        <f t="shared" si="4"/>
        <v>11303.942400000011</v>
      </c>
    </row>
    <row r="37" spans="1:7" x14ac:dyDescent="0.3">
      <c r="A37">
        <v>25.6</v>
      </c>
      <c r="B37">
        <v>1150</v>
      </c>
      <c r="C37">
        <f t="shared" si="0"/>
        <v>1043.8024680000001</v>
      </c>
      <c r="D37">
        <f t="shared" si="1"/>
        <v>106.19753199999991</v>
      </c>
      <c r="E37">
        <f t="shared" si="2"/>
        <v>11277.915802891004</v>
      </c>
      <c r="F37">
        <f t="shared" si="3"/>
        <v>227.32000000000005</v>
      </c>
      <c r="G37">
        <f t="shared" si="4"/>
        <v>51674.382400000024</v>
      </c>
    </row>
    <row r="38" spans="1:7" x14ac:dyDescent="0.3">
      <c r="A38">
        <v>15.4</v>
      </c>
      <c r="B38">
        <v>722</v>
      </c>
      <c r="C38">
        <f t="shared" si="0"/>
        <v>828.53881200000001</v>
      </c>
      <c r="D38">
        <f t="shared" si="1"/>
        <v>-106.53881200000001</v>
      </c>
      <c r="E38">
        <f t="shared" si="2"/>
        <v>11350.518462371345</v>
      </c>
      <c r="F38">
        <f t="shared" si="3"/>
        <v>-200.67999999999995</v>
      </c>
      <c r="G38">
        <f t="shared" si="4"/>
        <v>40272.462399999982</v>
      </c>
    </row>
    <row r="39" spans="1:7" x14ac:dyDescent="0.3">
      <c r="A39">
        <v>13.8</v>
      </c>
      <c r="B39">
        <v>996</v>
      </c>
      <c r="C39">
        <f t="shared" si="0"/>
        <v>794.77196400000003</v>
      </c>
      <c r="D39">
        <f t="shared" si="1"/>
        <v>201.22803599999997</v>
      </c>
      <c r="E39">
        <f t="shared" si="2"/>
        <v>40492.722472417285</v>
      </c>
      <c r="F39">
        <f t="shared" si="3"/>
        <v>73.32000000000005</v>
      </c>
      <c r="G39">
        <f t="shared" si="4"/>
        <v>5375.8224000000073</v>
      </c>
    </row>
    <row r="40" spans="1:7" x14ac:dyDescent="0.3">
      <c r="A40">
        <v>14</v>
      </c>
      <c r="B40">
        <v>1130</v>
      </c>
      <c r="C40">
        <f t="shared" si="0"/>
        <v>798.99281999999994</v>
      </c>
      <c r="D40">
        <f t="shared" si="1"/>
        <v>331.00718000000006</v>
      </c>
      <c r="E40">
        <f t="shared" si="2"/>
        <v>109565.75321155244</v>
      </c>
      <c r="F40">
        <f t="shared" si="3"/>
        <v>207.32000000000005</v>
      </c>
      <c r="G40">
        <f t="shared" si="4"/>
        <v>42981.582400000021</v>
      </c>
    </row>
    <row r="41" spans="1:7" x14ac:dyDescent="0.3">
      <c r="A41">
        <v>29.2</v>
      </c>
      <c r="B41">
        <v>1112</v>
      </c>
      <c r="C41">
        <f t="shared" si="0"/>
        <v>1119.7778759999999</v>
      </c>
      <c r="D41">
        <f t="shared" si="1"/>
        <v>-7.7778759999998783</v>
      </c>
      <c r="E41">
        <f t="shared" si="2"/>
        <v>60.495355071374107</v>
      </c>
      <c r="F41">
        <f t="shared" si="3"/>
        <v>189.32000000000005</v>
      </c>
      <c r="G41">
        <f t="shared" si="4"/>
        <v>35842.062400000017</v>
      </c>
    </row>
    <row r="42" spans="1:7" x14ac:dyDescent="0.3">
      <c r="A42">
        <v>30.1</v>
      </c>
      <c r="B42">
        <v>1191</v>
      </c>
      <c r="C42">
        <f t="shared" si="0"/>
        <v>1138.7717279999999</v>
      </c>
      <c r="D42">
        <f t="shared" si="1"/>
        <v>52.228272000000061</v>
      </c>
      <c r="E42">
        <f t="shared" si="2"/>
        <v>2727.7923961059905</v>
      </c>
      <c r="F42">
        <f t="shared" si="3"/>
        <v>268.32000000000005</v>
      </c>
      <c r="G42">
        <f t="shared" si="4"/>
        <v>71995.622400000022</v>
      </c>
    </row>
    <row r="43" spans="1:7" x14ac:dyDescent="0.3">
      <c r="A43">
        <v>21.5</v>
      </c>
      <c r="B43">
        <v>725</v>
      </c>
      <c r="C43">
        <f t="shared" si="0"/>
        <v>957.27491999999995</v>
      </c>
      <c r="D43">
        <f t="shared" si="1"/>
        <v>-232.27491999999995</v>
      </c>
      <c r="E43">
        <f t="shared" si="2"/>
        <v>53951.638461006376</v>
      </c>
      <c r="F43">
        <f t="shared" si="3"/>
        <v>-197.67999999999995</v>
      </c>
      <c r="G43">
        <f t="shared" si="4"/>
        <v>39077.38239999998</v>
      </c>
    </row>
    <row r="44" spans="1:7" x14ac:dyDescent="0.3">
      <c r="A44">
        <v>9.1</v>
      </c>
      <c r="B44">
        <v>607</v>
      </c>
      <c r="C44">
        <f t="shared" si="0"/>
        <v>695.58184800000004</v>
      </c>
      <c r="D44">
        <f t="shared" si="1"/>
        <v>-88.581848000000036</v>
      </c>
      <c r="E44">
        <f t="shared" si="2"/>
        <v>7846.7437950951107</v>
      </c>
      <c r="F44">
        <f t="shared" si="3"/>
        <v>-315.67999999999995</v>
      </c>
      <c r="G44">
        <f t="shared" si="4"/>
        <v>99653.862399999969</v>
      </c>
    </row>
    <row r="45" spans="1:7" x14ac:dyDescent="0.3">
      <c r="A45">
        <v>21.5</v>
      </c>
      <c r="B45">
        <v>1030</v>
      </c>
      <c r="C45">
        <f t="shared" si="0"/>
        <v>957.27491999999995</v>
      </c>
      <c r="D45">
        <f t="shared" si="1"/>
        <v>72.725080000000048</v>
      </c>
      <c r="E45">
        <f t="shared" si="2"/>
        <v>5288.9372610064074</v>
      </c>
      <c r="F45">
        <f t="shared" si="3"/>
        <v>107.32000000000005</v>
      </c>
      <c r="G45">
        <f t="shared" si="4"/>
        <v>11517.58240000001</v>
      </c>
    </row>
    <row r="46" spans="1:7" x14ac:dyDescent="0.3">
      <c r="A46">
        <v>4</v>
      </c>
      <c r="B46">
        <v>611</v>
      </c>
      <c r="C46">
        <f t="shared" si="0"/>
        <v>587.95001999999999</v>
      </c>
      <c r="D46">
        <f t="shared" si="1"/>
        <v>23.049980000000005</v>
      </c>
      <c r="E46">
        <f t="shared" si="2"/>
        <v>531.30157800040024</v>
      </c>
      <c r="F46">
        <f t="shared" si="3"/>
        <v>-311.67999999999995</v>
      </c>
      <c r="G46">
        <f t="shared" si="4"/>
        <v>97144.422399999967</v>
      </c>
    </row>
    <row r="47" spans="1:7" x14ac:dyDescent="0.3">
      <c r="A47">
        <v>7.5</v>
      </c>
      <c r="B47">
        <v>1217</v>
      </c>
      <c r="C47">
        <f t="shared" si="0"/>
        <v>661.81499999999994</v>
      </c>
      <c r="D47">
        <f t="shared" si="1"/>
        <v>555.18500000000006</v>
      </c>
      <c r="E47">
        <f t="shared" si="2"/>
        <v>308230.38422500005</v>
      </c>
      <c r="F47">
        <f t="shared" si="3"/>
        <v>294.32000000000005</v>
      </c>
      <c r="G47">
        <f t="shared" si="4"/>
        <v>86624.262400000036</v>
      </c>
    </row>
    <row r="48" spans="1:7" x14ac:dyDescent="0.3">
      <c r="A48">
        <v>11.8</v>
      </c>
      <c r="B48">
        <v>996</v>
      </c>
      <c r="C48">
        <f t="shared" si="0"/>
        <v>752.56340399999999</v>
      </c>
      <c r="D48">
        <f t="shared" si="1"/>
        <v>243.43659600000001</v>
      </c>
      <c r="E48">
        <f t="shared" si="2"/>
        <v>59261.376272067217</v>
      </c>
      <c r="F48">
        <f t="shared" si="3"/>
        <v>73.32000000000005</v>
      </c>
      <c r="G48">
        <f t="shared" si="4"/>
        <v>5375.8224000000073</v>
      </c>
    </row>
    <row r="49" spans="1:7" x14ac:dyDescent="0.3">
      <c r="A49">
        <v>24.2</v>
      </c>
      <c r="B49">
        <v>1043</v>
      </c>
      <c r="C49">
        <f t="shared" si="0"/>
        <v>1014.256476</v>
      </c>
      <c r="D49">
        <f t="shared" si="1"/>
        <v>28.743523999999979</v>
      </c>
      <c r="E49">
        <f t="shared" si="2"/>
        <v>826.19017193857485</v>
      </c>
      <c r="F49">
        <f t="shared" si="3"/>
        <v>120.32000000000005</v>
      </c>
      <c r="G49">
        <f t="shared" si="4"/>
        <v>14476.902400000012</v>
      </c>
    </row>
    <row r="50" spans="1:7" x14ac:dyDescent="0.3">
      <c r="A50">
        <v>27.2</v>
      </c>
      <c r="B50">
        <v>1512</v>
      </c>
      <c r="C50">
        <f t="shared" si="0"/>
        <v>1077.5693159999998</v>
      </c>
      <c r="D50">
        <f t="shared" si="1"/>
        <v>434.43068400000016</v>
      </c>
      <c r="E50">
        <f t="shared" si="2"/>
        <v>188730.01920070799</v>
      </c>
      <c r="F50">
        <f t="shared" si="3"/>
        <v>589.32000000000005</v>
      </c>
      <c r="G50">
        <f t="shared" si="4"/>
        <v>347298.06240000005</v>
      </c>
    </row>
    <row r="51" spans="1:7" x14ac:dyDescent="0.3">
      <c r="A51">
        <v>21.2</v>
      </c>
      <c r="B51">
        <v>1145</v>
      </c>
      <c r="C51">
        <f t="shared" si="0"/>
        <v>950.94363599999997</v>
      </c>
      <c r="D51">
        <f t="shared" si="1"/>
        <v>194.05636400000003</v>
      </c>
      <c r="E51">
        <f t="shared" si="2"/>
        <v>37657.872408900505</v>
      </c>
      <c r="F51">
        <f t="shared" si="3"/>
        <v>222.32000000000005</v>
      </c>
      <c r="G51">
        <f t="shared" si="4"/>
        <v>49426.18240000002</v>
      </c>
    </row>
    <row r="52" spans="1:7" x14ac:dyDescent="0.3">
      <c r="A52">
        <v>1.4</v>
      </c>
      <c r="B52">
        <v>374</v>
      </c>
      <c r="C52">
        <f t="shared" si="0"/>
        <v>533.078892</v>
      </c>
      <c r="D52">
        <f t="shared" si="1"/>
        <v>-159.078892</v>
      </c>
      <c r="E52">
        <f t="shared" si="2"/>
        <v>25306.093879947664</v>
      </c>
      <c r="F52">
        <f t="shared" si="3"/>
        <v>-548.67999999999995</v>
      </c>
      <c r="G52">
        <f t="shared" si="4"/>
        <v>301049.74239999993</v>
      </c>
    </row>
    <row r="53" spans="1:7" x14ac:dyDescent="0.3">
      <c r="A53">
        <v>28.3</v>
      </c>
      <c r="B53">
        <v>837</v>
      </c>
      <c r="C53">
        <f t="shared" si="0"/>
        <v>1100.784024</v>
      </c>
      <c r="D53">
        <f t="shared" si="1"/>
        <v>-263.78402400000004</v>
      </c>
      <c r="E53">
        <f t="shared" si="2"/>
        <v>69582.011317632598</v>
      </c>
      <c r="F53">
        <f t="shared" si="3"/>
        <v>-85.67999999999995</v>
      </c>
      <c r="G53">
        <f t="shared" si="4"/>
        <v>7341.0623999999916</v>
      </c>
    </row>
    <row r="54" spans="1:7" x14ac:dyDescent="0.3">
      <c r="A54">
        <v>21.4</v>
      </c>
      <c r="B54">
        <v>1299</v>
      </c>
      <c r="C54">
        <f t="shared" si="0"/>
        <v>955.16449199999988</v>
      </c>
      <c r="D54">
        <f t="shared" si="1"/>
        <v>343.83550800000012</v>
      </c>
      <c r="E54">
        <f t="shared" si="2"/>
        <v>118222.85656161814</v>
      </c>
      <c r="F54">
        <f t="shared" si="3"/>
        <v>376.32000000000005</v>
      </c>
      <c r="G54">
        <f t="shared" si="4"/>
        <v>141616.74240000005</v>
      </c>
    </row>
    <row r="55" spans="1:7" x14ac:dyDescent="0.3">
      <c r="A55">
        <v>38.299999999999997</v>
      </c>
      <c r="B55">
        <v>1410</v>
      </c>
      <c r="C55">
        <f t="shared" si="0"/>
        <v>1311.826824</v>
      </c>
      <c r="D55">
        <f t="shared" si="1"/>
        <v>98.173176000000012</v>
      </c>
      <c r="E55">
        <f t="shared" si="2"/>
        <v>9637.9724859269791</v>
      </c>
      <c r="F55">
        <f t="shared" si="3"/>
        <v>487.32000000000005</v>
      </c>
      <c r="G55">
        <f t="shared" si="4"/>
        <v>237480.78240000005</v>
      </c>
    </row>
    <row r="56" spans="1:7" x14ac:dyDescent="0.3">
      <c r="A56">
        <v>19.899999999999999</v>
      </c>
      <c r="B56">
        <v>899</v>
      </c>
      <c r="C56">
        <f t="shared" si="0"/>
        <v>923.50807199999986</v>
      </c>
      <c r="D56">
        <f t="shared" si="1"/>
        <v>-24.508071999999856</v>
      </c>
      <c r="E56">
        <f t="shared" si="2"/>
        <v>600.64559315717702</v>
      </c>
      <c r="F56">
        <f t="shared" si="3"/>
        <v>-23.67999999999995</v>
      </c>
      <c r="G56">
        <f t="shared" si="4"/>
        <v>560.74239999999759</v>
      </c>
    </row>
    <row r="57" spans="1:7" x14ac:dyDescent="0.3">
      <c r="A57">
        <v>10.7</v>
      </c>
      <c r="B57">
        <v>687</v>
      </c>
      <c r="C57">
        <f t="shared" si="0"/>
        <v>729.34869600000002</v>
      </c>
      <c r="D57">
        <f t="shared" si="1"/>
        <v>-42.348696000000018</v>
      </c>
      <c r="E57">
        <f t="shared" si="2"/>
        <v>1793.4120529004176</v>
      </c>
      <c r="F57">
        <f t="shared" si="3"/>
        <v>-235.67999999999995</v>
      </c>
      <c r="G57">
        <f t="shared" si="4"/>
        <v>55545.062399999973</v>
      </c>
    </row>
    <row r="58" spans="1:7" x14ac:dyDescent="0.3">
      <c r="A58">
        <v>38.6</v>
      </c>
      <c r="B58">
        <v>1592</v>
      </c>
      <c r="C58">
        <f t="shared" si="0"/>
        <v>1318.1581080000001</v>
      </c>
      <c r="D58">
        <f t="shared" si="1"/>
        <v>273.84189199999992</v>
      </c>
      <c r="E58">
        <f t="shared" si="2"/>
        <v>74989.381814139619</v>
      </c>
      <c r="F58">
        <f t="shared" si="3"/>
        <v>669.32</v>
      </c>
      <c r="G58">
        <f t="shared" si="4"/>
        <v>447989.26240000007</v>
      </c>
    </row>
    <row r="59" spans="1:7" x14ac:dyDescent="0.3">
      <c r="A59">
        <v>22.5</v>
      </c>
      <c r="B59">
        <v>1184</v>
      </c>
      <c r="C59">
        <f t="shared" si="0"/>
        <v>978.37919999999997</v>
      </c>
      <c r="D59">
        <f t="shared" si="1"/>
        <v>205.62080000000003</v>
      </c>
      <c r="E59">
        <f t="shared" si="2"/>
        <v>42279.91339264001</v>
      </c>
      <c r="F59">
        <f t="shared" si="3"/>
        <v>261.32000000000005</v>
      </c>
      <c r="G59">
        <f t="shared" si="4"/>
        <v>68288.142400000026</v>
      </c>
    </row>
    <row r="60" spans="1:7" x14ac:dyDescent="0.3">
      <c r="A60">
        <v>24.7</v>
      </c>
      <c r="B60">
        <v>918</v>
      </c>
      <c r="C60">
        <f t="shared" si="0"/>
        <v>1024.808616</v>
      </c>
      <c r="D60">
        <f t="shared" si="1"/>
        <v>-106.80861600000003</v>
      </c>
      <c r="E60">
        <f t="shared" si="2"/>
        <v>11408.080451835462</v>
      </c>
      <c r="F60">
        <f t="shared" si="3"/>
        <v>-4.67999999999995</v>
      </c>
      <c r="G60">
        <f t="shared" si="4"/>
        <v>21.902399999999531</v>
      </c>
    </row>
    <row r="61" spans="1:7" x14ac:dyDescent="0.3">
      <c r="A61">
        <v>8.3000000000000007</v>
      </c>
      <c r="B61">
        <v>817</v>
      </c>
      <c r="C61">
        <f t="shared" si="0"/>
        <v>678.69842399999993</v>
      </c>
      <c r="D61">
        <f t="shared" si="1"/>
        <v>138.30157600000007</v>
      </c>
      <c r="E61">
        <f t="shared" si="2"/>
        <v>19127.325924083794</v>
      </c>
      <c r="F61">
        <f t="shared" si="3"/>
        <v>-105.67999999999995</v>
      </c>
      <c r="G61">
        <f t="shared" si="4"/>
        <v>11168.262399999989</v>
      </c>
    </row>
    <row r="62" spans="1:7" x14ac:dyDescent="0.3">
      <c r="A62">
        <v>13</v>
      </c>
      <c r="B62">
        <v>1129</v>
      </c>
      <c r="C62">
        <f t="shared" si="0"/>
        <v>777.88853999999992</v>
      </c>
      <c r="D62">
        <f t="shared" si="1"/>
        <v>351.11146000000008</v>
      </c>
      <c r="E62">
        <f t="shared" si="2"/>
        <v>123279.25734333166</v>
      </c>
      <c r="F62">
        <f t="shared" si="3"/>
        <v>206.32000000000005</v>
      </c>
      <c r="G62">
        <f t="shared" si="4"/>
        <v>42567.942400000022</v>
      </c>
    </row>
    <row r="63" spans="1:7" x14ac:dyDescent="0.3">
      <c r="A63">
        <v>8.6999999999999993</v>
      </c>
      <c r="B63">
        <v>852</v>
      </c>
      <c r="C63">
        <f t="shared" si="0"/>
        <v>687.14013599999998</v>
      </c>
      <c r="D63">
        <f t="shared" si="1"/>
        <v>164.85986400000002</v>
      </c>
      <c r="E63">
        <f t="shared" si="2"/>
        <v>27178.774758098501</v>
      </c>
      <c r="F63">
        <f t="shared" si="3"/>
        <v>-70.67999999999995</v>
      </c>
      <c r="G63">
        <f t="shared" si="4"/>
        <v>4995.6623999999929</v>
      </c>
    </row>
    <row r="64" spans="1:7" x14ac:dyDescent="0.3">
      <c r="A64">
        <v>19.3</v>
      </c>
      <c r="B64">
        <v>1200</v>
      </c>
      <c r="C64">
        <f t="shared" si="0"/>
        <v>910.84550400000001</v>
      </c>
      <c r="D64">
        <f t="shared" si="1"/>
        <v>289.15449599999999</v>
      </c>
      <c r="E64">
        <f t="shared" si="2"/>
        <v>83610.322557014006</v>
      </c>
      <c r="F64">
        <f t="shared" si="3"/>
        <v>277.32000000000005</v>
      </c>
      <c r="G64">
        <f t="shared" si="4"/>
        <v>76906.382400000031</v>
      </c>
    </row>
    <row r="65" spans="1:7" x14ac:dyDescent="0.3">
      <c r="A65">
        <v>5.3</v>
      </c>
      <c r="B65">
        <v>390</v>
      </c>
      <c r="C65">
        <f t="shared" si="0"/>
        <v>615.38558399999999</v>
      </c>
      <c r="D65">
        <f t="shared" si="1"/>
        <v>-225.38558399999999</v>
      </c>
      <c r="E65">
        <f t="shared" si="2"/>
        <v>50798.66147502105</v>
      </c>
      <c r="F65">
        <f t="shared" si="3"/>
        <v>-532.67999999999995</v>
      </c>
      <c r="G65">
        <f t="shared" si="4"/>
        <v>283747.98239999992</v>
      </c>
    </row>
    <row r="66" spans="1:7" x14ac:dyDescent="0.3">
      <c r="A66">
        <v>5.8</v>
      </c>
      <c r="B66">
        <v>625</v>
      </c>
      <c r="C66">
        <f t="shared" si="0"/>
        <v>625.937724</v>
      </c>
      <c r="D66">
        <f t="shared" si="1"/>
        <v>-0.93772400000000289</v>
      </c>
      <c r="E66">
        <f t="shared" si="2"/>
        <v>0.87932630017600544</v>
      </c>
      <c r="F66">
        <f t="shared" si="3"/>
        <v>-297.67999999999995</v>
      </c>
      <c r="G66">
        <f t="shared" si="4"/>
        <v>88613.382399999973</v>
      </c>
    </row>
    <row r="67" spans="1:7" x14ac:dyDescent="0.3">
      <c r="A67">
        <v>7.8</v>
      </c>
      <c r="B67">
        <v>696</v>
      </c>
      <c r="C67">
        <f t="shared" ref="C67:C101" si="5">503.5329+PRODUCT(A67,21.10428)</f>
        <v>668.14628399999992</v>
      </c>
      <c r="D67">
        <f t="shared" ref="D67:D101" si="6">B67-C67</f>
        <v>27.853716000000077</v>
      </c>
      <c r="E67">
        <f t="shared" ref="E67:E101" si="7">PRODUCT(D67,D67)</f>
        <v>775.82949500866027</v>
      </c>
      <c r="F67">
        <f t="shared" ref="F67:F101" si="8">B67-922.68</f>
        <v>-226.67999999999995</v>
      </c>
      <c r="G67">
        <f t="shared" ref="G67:G101" si="9" xml:space="preserve"> PRODUCT(F67,F67)</f>
        <v>51383.822399999975</v>
      </c>
    </row>
    <row r="68" spans="1:7" x14ac:dyDescent="0.3">
      <c r="A68">
        <v>57.8</v>
      </c>
      <c r="B68">
        <v>2358</v>
      </c>
      <c r="C68">
        <f t="shared" si="5"/>
        <v>1723.3602839999999</v>
      </c>
      <c r="D68">
        <f t="shared" si="6"/>
        <v>634.63971600000013</v>
      </c>
      <c r="E68">
        <f t="shared" si="7"/>
        <v>402767.5691245608</v>
      </c>
      <c r="F68">
        <f t="shared" si="8"/>
        <v>1435.3200000000002</v>
      </c>
      <c r="G68">
        <f t="shared" si="9"/>
        <v>2060143.5024000006</v>
      </c>
    </row>
    <row r="69" spans="1:7" x14ac:dyDescent="0.3">
      <c r="A69">
        <v>35.299999999999997</v>
      </c>
      <c r="B69">
        <v>1456</v>
      </c>
      <c r="C69">
        <f t="shared" si="5"/>
        <v>1248.5139839999999</v>
      </c>
      <c r="D69">
        <f t="shared" si="6"/>
        <v>207.48601600000006</v>
      </c>
      <c r="E69">
        <f t="shared" si="7"/>
        <v>43050.446835552284</v>
      </c>
      <c r="F69">
        <f t="shared" si="8"/>
        <v>533.32000000000005</v>
      </c>
      <c r="G69">
        <f t="shared" si="9"/>
        <v>284430.22240000003</v>
      </c>
    </row>
    <row r="70" spans="1:7" x14ac:dyDescent="0.3">
      <c r="A70">
        <v>17.5</v>
      </c>
      <c r="B70">
        <v>1038</v>
      </c>
      <c r="C70">
        <f t="shared" si="5"/>
        <v>872.8578</v>
      </c>
      <c r="D70">
        <f t="shared" si="6"/>
        <v>165.1422</v>
      </c>
      <c r="E70">
        <f t="shared" si="7"/>
        <v>27271.94622084</v>
      </c>
      <c r="F70">
        <f t="shared" si="8"/>
        <v>115.32000000000005</v>
      </c>
      <c r="G70">
        <f t="shared" si="9"/>
        <v>13298.702400000011</v>
      </c>
    </row>
    <row r="71" spans="1:7" x14ac:dyDescent="0.3">
      <c r="A71">
        <v>15.6</v>
      </c>
      <c r="B71">
        <v>1222</v>
      </c>
      <c r="C71">
        <f t="shared" si="5"/>
        <v>832.75966799999992</v>
      </c>
      <c r="D71">
        <f t="shared" si="6"/>
        <v>389.24033200000008</v>
      </c>
      <c r="E71">
        <f t="shared" si="7"/>
        <v>151508.03605547029</v>
      </c>
      <c r="F71">
        <f t="shared" si="8"/>
        <v>299.32000000000005</v>
      </c>
      <c r="G71">
        <f t="shared" si="9"/>
        <v>89592.462400000033</v>
      </c>
    </row>
    <row r="72" spans="1:7" x14ac:dyDescent="0.3">
      <c r="A72">
        <v>26.1</v>
      </c>
      <c r="B72">
        <v>1020</v>
      </c>
      <c r="C72">
        <f t="shared" si="5"/>
        <v>1054.3546080000001</v>
      </c>
      <c r="D72">
        <f t="shared" si="6"/>
        <v>-34.354608000000098</v>
      </c>
      <c r="E72">
        <f t="shared" si="7"/>
        <v>1180.2390908336708</v>
      </c>
      <c r="F72">
        <f t="shared" si="8"/>
        <v>97.32000000000005</v>
      </c>
      <c r="G72">
        <f t="shared" si="9"/>
        <v>9471.1824000000106</v>
      </c>
    </row>
    <row r="73" spans="1:7" x14ac:dyDescent="0.3">
      <c r="A73">
        <v>31.2</v>
      </c>
      <c r="B73">
        <v>1401</v>
      </c>
      <c r="C73">
        <f t="shared" si="5"/>
        <v>1161.9864359999999</v>
      </c>
      <c r="D73">
        <f t="shared" si="6"/>
        <v>239.01356400000009</v>
      </c>
      <c r="E73">
        <f t="shared" si="7"/>
        <v>57127.483775982138</v>
      </c>
      <c r="F73">
        <f t="shared" si="8"/>
        <v>478.32000000000005</v>
      </c>
      <c r="G73">
        <f t="shared" si="9"/>
        <v>228790.02240000005</v>
      </c>
    </row>
    <row r="74" spans="1:7" x14ac:dyDescent="0.3">
      <c r="A74">
        <v>6.6</v>
      </c>
      <c r="B74">
        <v>881</v>
      </c>
      <c r="C74">
        <f t="shared" si="5"/>
        <v>642.82114799999999</v>
      </c>
      <c r="D74">
        <f t="shared" si="6"/>
        <v>238.17885200000001</v>
      </c>
      <c r="E74">
        <f t="shared" si="7"/>
        <v>56729.16554003791</v>
      </c>
      <c r="F74">
        <f t="shared" si="8"/>
        <v>-41.67999999999995</v>
      </c>
      <c r="G74">
        <f t="shared" si="9"/>
        <v>1737.2223999999958</v>
      </c>
    </row>
    <row r="75" spans="1:7" x14ac:dyDescent="0.3">
      <c r="A75">
        <v>6.8</v>
      </c>
      <c r="B75">
        <v>679</v>
      </c>
      <c r="C75">
        <f t="shared" si="5"/>
        <v>647.04200399999991</v>
      </c>
      <c r="D75">
        <f t="shared" si="6"/>
        <v>31.957996000000094</v>
      </c>
      <c r="E75">
        <f t="shared" si="7"/>
        <v>1021.313508336022</v>
      </c>
      <c r="F75">
        <f t="shared" si="8"/>
        <v>-243.67999999999995</v>
      </c>
      <c r="G75">
        <f t="shared" si="9"/>
        <v>59379.942399999978</v>
      </c>
    </row>
    <row r="76" spans="1:7" x14ac:dyDescent="0.3">
      <c r="A76">
        <v>16.3</v>
      </c>
      <c r="B76">
        <v>886</v>
      </c>
      <c r="C76">
        <f t="shared" si="5"/>
        <v>847.53266400000007</v>
      </c>
      <c r="D76">
        <f t="shared" si="6"/>
        <v>38.467335999999932</v>
      </c>
      <c r="E76">
        <f t="shared" si="7"/>
        <v>1479.7359389368908</v>
      </c>
      <c r="F76">
        <f t="shared" si="8"/>
        <v>-36.67999999999995</v>
      </c>
      <c r="G76">
        <f t="shared" si="9"/>
        <v>1345.4223999999963</v>
      </c>
    </row>
    <row r="77" spans="1:7" x14ac:dyDescent="0.3">
      <c r="A77">
        <v>27.2</v>
      </c>
      <c r="B77">
        <v>841</v>
      </c>
      <c r="C77">
        <f t="shared" si="5"/>
        <v>1077.5693159999998</v>
      </c>
      <c r="D77">
        <f t="shared" si="6"/>
        <v>-236.56931599999984</v>
      </c>
      <c r="E77">
        <f t="shared" si="7"/>
        <v>55965.041272707786</v>
      </c>
      <c r="F77">
        <f t="shared" si="8"/>
        <v>-81.67999999999995</v>
      </c>
      <c r="G77">
        <f t="shared" si="9"/>
        <v>6671.622399999992</v>
      </c>
    </row>
    <row r="78" spans="1:7" x14ac:dyDescent="0.3">
      <c r="A78">
        <v>19.8</v>
      </c>
      <c r="B78">
        <v>470</v>
      </c>
      <c r="C78">
        <f t="shared" si="5"/>
        <v>921.3976439999999</v>
      </c>
      <c r="D78">
        <f t="shared" si="6"/>
        <v>-451.3976439999999</v>
      </c>
      <c r="E78">
        <f t="shared" si="7"/>
        <v>203759.83300875063</v>
      </c>
      <c r="F78">
        <f t="shared" si="8"/>
        <v>-452.67999999999995</v>
      </c>
      <c r="G78">
        <f t="shared" si="9"/>
        <v>204919.18239999996</v>
      </c>
    </row>
    <row r="79" spans="1:7" x14ac:dyDescent="0.3">
      <c r="A79">
        <v>18.600000000000001</v>
      </c>
      <c r="B79">
        <v>883</v>
      </c>
      <c r="C79">
        <f t="shared" si="5"/>
        <v>896.07250799999997</v>
      </c>
      <c r="D79">
        <f t="shared" si="6"/>
        <v>-13.072507999999971</v>
      </c>
      <c r="E79">
        <f t="shared" si="7"/>
        <v>170.89046541006323</v>
      </c>
      <c r="F79">
        <f t="shared" si="8"/>
        <v>-39.67999999999995</v>
      </c>
      <c r="G79">
        <f t="shared" si="9"/>
        <v>1574.502399999996</v>
      </c>
    </row>
    <row r="80" spans="1:7" x14ac:dyDescent="0.3">
      <c r="A80">
        <v>31.4</v>
      </c>
      <c r="B80">
        <v>1290</v>
      </c>
      <c r="C80">
        <f t="shared" si="5"/>
        <v>1166.2072919999998</v>
      </c>
      <c r="D80">
        <f t="shared" si="6"/>
        <v>123.79270800000018</v>
      </c>
      <c r="E80">
        <f t="shared" si="7"/>
        <v>15324.634553973307</v>
      </c>
      <c r="F80">
        <f t="shared" si="8"/>
        <v>367.32000000000005</v>
      </c>
      <c r="G80">
        <f t="shared" si="9"/>
        <v>134923.98240000004</v>
      </c>
    </row>
    <row r="81" spans="1:7" x14ac:dyDescent="0.3">
      <c r="A81">
        <v>23.7</v>
      </c>
      <c r="B81">
        <v>1427</v>
      </c>
      <c r="C81">
        <f t="shared" si="5"/>
        <v>1003.704336</v>
      </c>
      <c r="D81">
        <f t="shared" si="6"/>
        <v>423.29566399999999</v>
      </c>
      <c r="E81">
        <f t="shared" si="7"/>
        <v>179179.21916120089</v>
      </c>
      <c r="F81">
        <f t="shared" si="8"/>
        <v>504.32000000000005</v>
      </c>
      <c r="G81">
        <f t="shared" si="9"/>
        <v>254338.66240000006</v>
      </c>
    </row>
    <row r="82" spans="1:7" x14ac:dyDescent="0.3">
      <c r="A82">
        <v>15.7</v>
      </c>
      <c r="B82">
        <v>696</v>
      </c>
      <c r="C82">
        <f t="shared" si="5"/>
        <v>834.87009599999988</v>
      </c>
      <c r="D82">
        <f t="shared" si="6"/>
        <v>-138.87009599999988</v>
      </c>
      <c r="E82">
        <f t="shared" si="7"/>
        <v>19284.903563049182</v>
      </c>
      <c r="F82">
        <f t="shared" si="8"/>
        <v>-226.67999999999995</v>
      </c>
      <c r="G82">
        <f t="shared" si="9"/>
        <v>51383.822399999975</v>
      </c>
    </row>
    <row r="83" spans="1:7" x14ac:dyDescent="0.3">
      <c r="A83">
        <v>3.2</v>
      </c>
      <c r="B83">
        <v>297</v>
      </c>
      <c r="C83">
        <f t="shared" si="5"/>
        <v>571.066596</v>
      </c>
      <c r="D83">
        <f t="shared" si="6"/>
        <v>-274.066596</v>
      </c>
      <c r="E83">
        <f t="shared" si="7"/>
        <v>75112.499043027216</v>
      </c>
      <c r="F83">
        <f t="shared" si="8"/>
        <v>-625.67999999999995</v>
      </c>
      <c r="G83">
        <f t="shared" si="9"/>
        <v>391475.46239999996</v>
      </c>
    </row>
    <row r="84" spans="1:7" x14ac:dyDescent="0.3">
      <c r="A84">
        <v>14.5</v>
      </c>
      <c r="B84">
        <v>813</v>
      </c>
      <c r="C84">
        <f t="shared" si="5"/>
        <v>809.54495999999995</v>
      </c>
      <c r="D84">
        <f t="shared" si="6"/>
        <v>3.4550400000000536</v>
      </c>
      <c r="E84">
        <f t="shared" si="7"/>
        <v>11.93730140160037</v>
      </c>
      <c r="F84">
        <f t="shared" si="8"/>
        <v>-109.67999999999995</v>
      </c>
      <c r="G84">
        <f t="shared" si="9"/>
        <v>12029.702399999989</v>
      </c>
    </row>
    <row r="85" spans="1:7" x14ac:dyDescent="0.3">
      <c r="A85">
        <v>23.8</v>
      </c>
      <c r="B85">
        <v>874</v>
      </c>
      <c r="C85">
        <f t="shared" si="5"/>
        <v>1005.814764</v>
      </c>
      <c r="D85">
        <f t="shared" si="6"/>
        <v>-131.81476399999997</v>
      </c>
      <c r="E85">
        <f t="shared" si="7"/>
        <v>17375.132008375687</v>
      </c>
      <c r="F85">
        <f t="shared" si="8"/>
        <v>-48.67999999999995</v>
      </c>
      <c r="G85">
        <f t="shared" si="9"/>
        <v>2369.7423999999951</v>
      </c>
    </row>
    <row r="86" spans="1:7" x14ac:dyDescent="0.3">
      <c r="A86">
        <v>24.8</v>
      </c>
      <c r="B86">
        <v>1226</v>
      </c>
      <c r="C86">
        <f t="shared" si="5"/>
        <v>1026.919044</v>
      </c>
      <c r="D86">
        <f t="shared" si="6"/>
        <v>199.08095600000001</v>
      </c>
      <c r="E86">
        <f t="shared" si="7"/>
        <v>39633.227041873943</v>
      </c>
      <c r="F86">
        <f t="shared" si="8"/>
        <v>303.32000000000005</v>
      </c>
      <c r="G86">
        <f t="shared" si="9"/>
        <v>92003.022400000031</v>
      </c>
    </row>
    <row r="87" spans="1:7" x14ac:dyDescent="0.3">
      <c r="A87">
        <v>3.3</v>
      </c>
      <c r="B87">
        <v>453</v>
      </c>
      <c r="C87">
        <f t="shared" si="5"/>
        <v>573.17702399999996</v>
      </c>
      <c r="D87">
        <f t="shared" si="6"/>
        <v>-120.17702399999996</v>
      </c>
      <c r="E87">
        <f t="shared" si="7"/>
        <v>14442.517097496566</v>
      </c>
      <c r="F87">
        <f t="shared" si="8"/>
        <v>-469.67999999999995</v>
      </c>
      <c r="G87">
        <f t="shared" si="9"/>
        <v>220599.30239999996</v>
      </c>
    </row>
    <row r="88" spans="1:7" x14ac:dyDescent="0.3">
      <c r="A88">
        <v>11.1</v>
      </c>
      <c r="B88">
        <v>359</v>
      </c>
      <c r="C88">
        <f t="shared" si="5"/>
        <v>737.79040799999996</v>
      </c>
      <c r="D88">
        <f t="shared" si="6"/>
        <v>-378.79040799999996</v>
      </c>
      <c r="E88">
        <f t="shared" si="7"/>
        <v>143482.17319280643</v>
      </c>
      <c r="F88">
        <f t="shared" si="8"/>
        <v>-563.67999999999995</v>
      </c>
      <c r="G88">
        <f t="shared" si="9"/>
        <v>317735.14239999995</v>
      </c>
    </row>
    <row r="89" spans="1:7" x14ac:dyDescent="0.3">
      <c r="A89">
        <v>39.200000000000003</v>
      </c>
      <c r="B89">
        <v>1304</v>
      </c>
      <c r="C89">
        <f t="shared" si="5"/>
        <v>1330.820676</v>
      </c>
      <c r="D89">
        <f t="shared" si="6"/>
        <v>-26.820676000000049</v>
      </c>
      <c r="E89">
        <f t="shared" si="7"/>
        <v>719.34866109697862</v>
      </c>
      <c r="F89">
        <f t="shared" si="8"/>
        <v>381.32000000000005</v>
      </c>
      <c r="G89">
        <f t="shared" si="9"/>
        <v>145404.94240000003</v>
      </c>
    </row>
    <row r="90" spans="1:7" x14ac:dyDescent="0.3">
      <c r="A90">
        <v>13.8</v>
      </c>
      <c r="B90">
        <v>905</v>
      </c>
      <c r="C90">
        <f t="shared" si="5"/>
        <v>794.77196400000003</v>
      </c>
      <c r="D90">
        <f t="shared" si="6"/>
        <v>110.22803599999997</v>
      </c>
      <c r="E90">
        <f t="shared" si="7"/>
        <v>12150.21992041729</v>
      </c>
      <c r="F90">
        <f t="shared" si="8"/>
        <v>-17.67999999999995</v>
      </c>
      <c r="G90">
        <f t="shared" si="9"/>
        <v>312.58239999999824</v>
      </c>
    </row>
    <row r="91" spans="1:7" x14ac:dyDescent="0.3">
      <c r="A91">
        <v>23.4</v>
      </c>
      <c r="B91">
        <v>1418</v>
      </c>
      <c r="C91">
        <f t="shared" si="5"/>
        <v>997.37305199999992</v>
      </c>
      <c r="D91">
        <f t="shared" si="6"/>
        <v>420.62694800000008</v>
      </c>
      <c r="E91">
        <f t="shared" si="7"/>
        <v>176927.02938379478</v>
      </c>
      <c r="F91">
        <f t="shared" si="8"/>
        <v>495.32000000000005</v>
      </c>
      <c r="G91">
        <f t="shared" si="9"/>
        <v>245341.90240000005</v>
      </c>
    </row>
    <row r="92" spans="1:7" x14ac:dyDescent="0.3">
      <c r="A92">
        <v>31.1</v>
      </c>
      <c r="B92">
        <v>1309</v>
      </c>
      <c r="C92">
        <f t="shared" si="5"/>
        <v>1159.876008</v>
      </c>
      <c r="D92">
        <f t="shared" si="6"/>
        <v>149.12399200000004</v>
      </c>
      <c r="E92">
        <f t="shared" si="7"/>
        <v>22237.964990016077</v>
      </c>
      <c r="F92">
        <f t="shared" si="8"/>
        <v>386.32000000000005</v>
      </c>
      <c r="G92">
        <f t="shared" si="9"/>
        <v>149243.14240000004</v>
      </c>
    </row>
    <row r="93" spans="1:7" x14ac:dyDescent="0.3">
      <c r="A93">
        <v>17.399999999999999</v>
      </c>
      <c r="B93">
        <v>321</v>
      </c>
      <c r="C93">
        <f t="shared" si="5"/>
        <v>870.74737199999993</v>
      </c>
      <c r="D93">
        <f t="shared" si="6"/>
        <v>-549.74737199999993</v>
      </c>
      <c r="E93">
        <f t="shared" si="7"/>
        <v>302222.17302090628</v>
      </c>
      <c r="F93">
        <f t="shared" si="8"/>
        <v>-601.67999999999995</v>
      </c>
      <c r="G93">
        <f t="shared" si="9"/>
        <v>362018.82239999995</v>
      </c>
    </row>
    <row r="94" spans="1:7" x14ac:dyDescent="0.3">
      <c r="A94">
        <v>12.3</v>
      </c>
      <c r="B94">
        <v>975</v>
      </c>
      <c r="C94">
        <f t="shared" si="5"/>
        <v>763.115544</v>
      </c>
      <c r="D94">
        <f t="shared" si="6"/>
        <v>211.884456</v>
      </c>
      <c r="E94">
        <f t="shared" si="7"/>
        <v>44895.022694415937</v>
      </c>
      <c r="F94">
        <f t="shared" si="8"/>
        <v>52.32000000000005</v>
      </c>
      <c r="G94">
        <f t="shared" si="9"/>
        <v>2737.3824000000054</v>
      </c>
    </row>
    <row r="95" spans="1:7" x14ac:dyDescent="0.3">
      <c r="A95">
        <v>12.1</v>
      </c>
      <c r="B95">
        <v>847</v>
      </c>
      <c r="C95">
        <f t="shared" si="5"/>
        <v>758.89468799999997</v>
      </c>
      <c r="D95">
        <f t="shared" si="6"/>
        <v>88.105312000000026</v>
      </c>
      <c r="E95">
        <f t="shared" si="7"/>
        <v>7762.5460026173487</v>
      </c>
      <c r="F95">
        <f t="shared" si="8"/>
        <v>-75.67999999999995</v>
      </c>
      <c r="G95">
        <f t="shared" si="9"/>
        <v>5727.4623999999922</v>
      </c>
    </row>
    <row r="96" spans="1:7" x14ac:dyDescent="0.3">
      <c r="A96">
        <v>12.2</v>
      </c>
      <c r="B96">
        <v>750</v>
      </c>
      <c r="C96">
        <f t="shared" si="5"/>
        <v>761.00511600000004</v>
      </c>
      <c r="D96">
        <f t="shared" si="6"/>
        <v>-11.005116000000044</v>
      </c>
      <c r="E96">
        <f t="shared" si="7"/>
        <v>121.11257817345697</v>
      </c>
      <c r="F96">
        <f t="shared" si="8"/>
        <v>-172.67999999999995</v>
      </c>
      <c r="G96">
        <f t="shared" si="9"/>
        <v>29818.382399999984</v>
      </c>
    </row>
    <row r="97" spans="1:7" x14ac:dyDescent="0.3">
      <c r="A97">
        <v>31.3</v>
      </c>
      <c r="B97">
        <v>973</v>
      </c>
      <c r="C97">
        <f t="shared" si="5"/>
        <v>1164.0968639999999</v>
      </c>
      <c r="D97">
        <f t="shared" si="6"/>
        <v>-191.09686399999987</v>
      </c>
      <c r="E97">
        <f t="shared" si="7"/>
        <v>36518.011430634448</v>
      </c>
      <c r="F97">
        <f t="shared" si="8"/>
        <v>50.32000000000005</v>
      </c>
      <c r="G97">
        <f t="shared" si="9"/>
        <v>2532.1024000000052</v>
      </c>
    </row>
    <row r="98" spans="1:7" x14ac:dyDescent="0.3">
      <c r="A98">
        <v>37.200000000000003</v>
      </c>
      <c r="B98">
        <v>1035</v>
      </c>
      <c r="C98">
        <f t="shared" si="5"/>
        <v>1288.612116</v>
      </c>
      <c r="D98">
        <f t="shared" si="6"/>
        <v>-253.61211600000001</v>
      </c>
      <c r="E98">
        <f t="shared" si="7"/>
        <v>64319.105381997462</v>
      </c>
      <c r="F98">
        <f t="shared" si="8"/>
        <v>112.32000000000005</v>
      </c>
      <c r="G98">
        <f t="shared" si="9"/>
        <v>12615.782400000011</v>
      </c>
    </row>
    <row r="99" spans="1:7" x14ac:dyDescent="0.3">
      <c r="A99">
        <v>12.1</v>
      </c>
      <c r="B99">
        <v>1146</v>
      </c>
      <c r="C99">
        <f t="shared" si="5"/>
        <v>758.89468799999997</v>
      </c>
      <c r="D99">
        <f t="shared" si="6"/>
        <v>387.10531200000003</v>
      </c>
      <c r="E99">
        <f t="shared" si="7"/>
        <v>149850.52257861735</v>
      </c>
      <c r="F99">
        <f t="shared" si="8"/>
        <v>223.32000000000005</v>
      </c>
      <c r="G99">
        <f t="shared" si="9"/>
        <v>49871.822400000019</v>
      </c>
    </row>
    <row r="100" spans="1:7" x14ac:dyDescent="0.3">
      <c r="A100">
        <v>10.4</v>
      </c>
      <c r="B100">
        <v>702</v>
      </c>
      <c r="C100">
        <f t="shared" si="5"/>
        <v>723.01741199999992</v>
      </c>
      <c r="D100">
        <f t="shared" si="6"/>
        <v>-21.017411999999922</v>
      </c>
      <c r="E100">
        <f t="shared" si="7"/>
        <v>441.73160717774073</v>
      </c>
      <c r="F100">
        <f t="shared" si="8"/>
        <v>-220.67999999999995</v>
      </c>
      <c r="G100">
        <f t="shared" si="9"/>
        <v>48699.662399999979</v>
      </c>
    </row>
    <row r="101" spans="1:7" x14ac:dyDescent="0.3">
      <c r="A101">
        <v>2</v>
      </c>
      <c r="B101">
        <v>483</v>
      </c>
      <c r="C101">
        <f t="shared" si="5"/>
        <v>545.74145999999996</v>
      </c>
      <c r="D101">
        <f t="shared" si="6"/>
        <v>-62.741459999999961</v>
      </c>
      <c r="E101">
        <f t="shared" si="7"/>
        <v>3936.4908029315952</v>
      </c>
      <c r="F101">
        <f t="shared" si="8"/>
        <v>-439.67999999999995</v>
      </c>
      <c r="G101">
        <f t="shared" si="9"/>
        <v>193318.50239999997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0D66-6822-4868-B3A9-8F6CF582C476}">
  <dimension ref="A1:L101"/>
  <sheetViews>
    <sheetView workbookViewId="0">
      <selection activeCell="K19" sqref="K19"/>
    </sheetView>
  </sheetViews>
  <sheetFormatPr defaultRowHeight="14.4" x14ac:dyDescent="0.3"/>
  <cols>
    <col min="10" max="11" width="11" bestFit="1" customWidth="1"/>
  </cols>
  <sheetData>
    <row r="1" spans="1:12" x14ac:dyDescent="0.3">
      <c r="A1" t="s">
        <v>2</v>
      </c>
      <c r="B1" t="s">
        <v>6</v>
      </c>
      <c r="C1" t="s">
        <v>17</v>
      </c>
      <c r="D1" t="s">
        <v>36</v>
      </c>
      <c r="E1" t="s">
        <v>35</v>
      </c>
      <c r="F1" t="s">
        <v>18</v>
      </c>
      <c r="G1" t="s">
        <v>33</v>
      </c>
      <c r="J1" t="s">
        <v>11</v>
      </c>
    </row>
    <row r="2" spans="1:12" x14ac:dyDescent="0.3">
      <c r="A2">
        <v>93529</v>
      </c>
      <c r="B2">
        <v>1176</v>
      </c>
      <c r="C2">
        <f>804.3486+PRODUCT(A2,0.000254)</f>
        <v>828.10496599999999</v>
      </c>
      <c r="D2">
        <f>B2-C2</f>
        <v>347.89503400000001</v>
      </c>
      <c r="E2">
        <f>PRODUCT(D2,D2)</f>
        <v>121030.95468186116</v>
      </c>
      <c r="F2">
        <f>B2-922.68</f>
        <v>253.32000000000005</v>
      </c>
      <c r="G2">
        <f>PRODUCT(F2,F2)</f>
        <v>64171.022400000023</v>
      </c>
      <c r="J2">
        <f>SUM(B2:B101)/COUNT(B2:B101)</f>
        <v>922.68</v>
      </c>
    </row>
    <row r="3" spans="1:12" x14ac:dyDescent="0.3">
      <c r="A3">
        <v>55892</v>
      </c>
      <c r="B3">
        <v>663</v>
      </c>
      <c r="C3">
        <f t="shared" ref="C3:C66" si="0">804.3486+PRODUCT(A3,0.000254)</f>
        <v>818.54516799999999</v>
      </c>
      <c r="D3">
        <f t="shared" ref="D3:D66" si="1">B3-C3</f>
        <v>-155.54516799999999</v>
      </c>
      <c r="E3">
        <f t="shared" ref="E3:E66" si="2">PRODUCT(D3,D3)</f>
        <v>24194.299288148221</v>
      </c>
      <c r="F3">
        <f t="shared" ref="F3:F66" si="3">B3-922.68</f>
        <v>-259.67999999999995</v>
      </c>
      <c r="G3">
        <f t="shared" ref="G3:G66" si="4">PRODUCT(F3,F3)</f>
        <v>67433.70239999998</v>
      </c>
    </row>
    <row r="4" spans="1:12" x14ac:dyDescent="0.3">
      <c r="A4">
        <v>4606</v>
      </c>
      <c r="B4">
        <v>464</v>
      </c>
      <c r="C4">
        <f t="shared" si="0"/>
        <v>805.51852400000007</v>
      </c>
      <c r="D4">
        <f t="shared" si="1"/>
        <v>-341.51852400000007</v>
      </c>
      <c r="E4">
        <f t="shared" si="2"/>
        <v>116634.90223513862</v>
      </c>
      <c r="F4">
        <f t="shared" si="3"/>
        <v>-458.67999999999995</v>
      </c>
      <c r="G4">
        <f t="shared" si="4"/>
        <v>210387.34239999996</v>
      </c>
    </row>
    <row r="5" spans="1:12" x14ac:dyDescent="0.3">
      <c r="A5">
        <v>53617</v>
      </c>
      <c r="B5">
        <v>693</v>
      </c>
      <c r="C5">
        <f t="shared" si="0"/>
        <v>817.96731799999998</v>
      </c>
      <c r="D5">
        <f t="shared" si="1"/>
        <v>-124.96731799999998</v>
      </c>
      <c r="E5">
        <f t="shared" si="2"/>
        <v>15616.830568113119</v>
      </c>
      <c r="F5">
        <f t="shared" si="3"/>
        <v>-229.67999999999995</v>
      </c>
      <c r="G5">
        <f t="shared" si="4"/>
        <v>52752.902399999977</v>
      </c>
    </row>
    <row r="6" spans="1:12" x14ac:dyDescent="0.3">
      <c r="A6">
        <v>158</v>
      </c>
      <c r="B6">
        <v>800</v>
      </c>
      <c r="C6">
        <f t="shared" si="0"/>
        <v>804.388732</v>
      </c>
      <c r="D6">
        <f t="shared" si="1"/>
        <v>-4.3887320000000045</v>
      </c>
      <c r="E6">
        <f t="shared" si="2"/>
        <v>19.26096856782404</v>
      </c>
      <c r="F6">
        <f t="shared" si="3"/>
        <v>-122.67999999999995</v>
      </c>
      <c r="G6">
        <f t="shared" si="4"/>
        <v>15050.382399999988</v>
      </c>
    </row>
    <row r="7" spans="1:12" x14ac:dyDescent="0.3">
      <c r="A7">
        <v>9407</v>
      </c>
      <c r="B7">
        <v>604</v>
      </c>
      <c r="C7">
        <f t="shared" si="0"/>
        <v>806.737978</v>
      </c>
      <c r="D7">
        <f t="shared" si="1"/>
        <v>-202.737978</v>
      </c>
      <c r="E7">
        <f t="shared" si="2"/>
        <v>41102.687723528485</v>
      </c>
      <c r="F7">
        <f t="shared" si="3"/>
        <v>-318.67999999999995</v>
      </c>
      <c r="G7">
        <f t="shared" si="4"/>
        <v>101556.94239999997</v>
      </c>
    </row>
    <row r="8" spans="1:12" x14ac:dyDescent="0.3">
      <c r="A8">
        <v>27675</v>
      </c>
      <c r="B8">
        <v>311</v>
      </c>
      <c r="C8">
        <f t="shared" si="0"/>
        <v>811.37805000000003</v>
      </c>
      <c r="D8">
        <f t="shared" si="1"/>
        <v>-500.37805000000003</v>
      </c>
      <c r="E8">
        <f t="shared" si="2"/>
        <v>250378.19292180252</v>
      </c>
      <c r="F8">
        <f t="shared" si="3"/>
        <v>-611.67999999999995</v>
      </c>
      <c r="G8">
        <f t="shared" si="4"/>
        <v>374152.42239999992</v>
      </c>
    </row>
    <row r="9" spans="1:12" x14ac:dyDescent="0.3">
      <c r="A9">
        <v>39937</v>
      </c>
      <c r="B9">
        <v>838</v>
      </c>
      <c r="C9">
        <f t="shared" si="0"/>
        <v>814.49259800000004</v>
      </c>
      <c r="D9">
        <f t="shared" si="1"/>
        <v>23.507401999999956</v>
      </c>
      <c r="E9">
        <f t="shared" si="2"/>
        <v>552.5979487896019</v>
      </c>
      <c r="F9">
        <f t="shared" si="3"/>
        <v>-84.67999999999995</v>
      </c>
      <c r="G9">
        <f t="shared" si="4"/>
        <v>7170.7023999999919</v>
      </c>
    </row>
    <row r="10" spans="1:12" x14ac:dyDescent="0.3">
      <c r="A10">
        <v>739281</v>
      </c>
      <c r="B10">
        <v>1269</v>
      </c>
      <c r="C10">
        <f t="shared" si="0"/>
        <v>992.12597400000004</v>
      </c>
      <c r="D10">
        <f t="shared" si="1"/>
        <v>276.87402599999996</v>
      </c>
      <c r="E10">
        <f t="shared" si="2"/>
        <v>76659.226273448658</v>
      </c>
      <c r="F10">
        <f t="shared" si="3"/>
        <v>346.32000000000005</v>
      </c>
      <c r="G10">
        <f t="shared" si="4"/>
        <v>119937.54240000003</v>
      </c>
      <c r="J10" t="s">
        <v>34</v>
      </c>
      <c r="K10" t="s">
        <v>21</v>
      </c>
      <c r="L10" s="1">
        <v>2</v>
      </c>
    </row>
    <row r="11" spans="1:12" x14ac:dyDescent="0.3">
      <c r="A11">
        <v>18533</v>
      </c>
      <c r="B11">
        <v>735</v>
      </c>
      <c r="C11">
        <f t="shared" si="0"/>
        <v>809.05598200000009</v>
      </c>
      <c r="D11">
        <f t="shared" si="1"/>
        <v>-74.055982000000085</v>
      </c>
      <c r="E11">
        <f t="shared" si="2"/>
        <v>5484.2884699843371</v>
      </c>
      <c r="F11">
        <f t="shared" si="3"/>
        <v>-187.67999999999995</v>
      </c>
      <c r="G11">
        <f t="shared" si="4"/>
        <v>35223.782399999982</v>
      </c>
      <c r="J11">
        <f>SUM(E2:E101)</f>
        <v>7992259.1185855018</v>
      </c>
      <c r="K11">
        <f>SUM(G2:G101)</f>
        <v>11838685.760000002</v>
      </c>
      <c r="L11">
        <f>1-(J11/K11)</f>
        <v>0.324903179237228</v>
      </c>
    </row>
    <row r="12" spans="1:12" x14ac:dyDescent="0.3">
      <c r="A12">
        <v>8949</v>
      </c>
      <c r="B12">
        <v>563</v>
      </c>
      <c r="C12">
        <f t="shared" si="0"/>
        <v>806.62164600000006</v>
      </c>
      <c r="D12">
        <f t="shared" si="1"/>
        <v>-243.62164600000006</v>
      </c>
      <c r="E12">
        <f t="shared" si="2"/>
        <v>59351.506399749342</v>
      </c>
      <c r="F12">
        <f t="shared" si="3"/>
        <v>-359.67999999999995</v>
      </c>
      <c r="G12">
        <f t="shared" si="4"/>
        <v>129369.70239999997</v>
      </c>
    </row>
    <row r="13" spans="1:12" x14ac:dyDescent="0.3">
      <c r="A13">
        <v>550560</v>
      </c>
      <c r="B13">
        <v>1028</v>
      </c>
      <c r="C13">
        <f t="shared" si="0"/>
        <v>944.19083999999998</v>
      </c>
      <c r="D13">
        <f t="shared" si="1"/>
        <v>83.80916000000002</v>
      </c>
      <c r="E13">
        <f t="shared" si="2"/>
        <v>7023.9752999056036</v>
      </c>
      <c r="F13">
        <f t="shared" si="3"/>
        <v>105.32000000000005</v>
      </c>
      <c r="G13">
        <f t="shared" si="4"/>
        <v>11092.302400000011</v>
      </c>
    </row>
    <row r="14" spans="1:12" x14ac:dyDescent="0.3">
      <c r="A14">
        <v>23885</v>
      </c>
      <c r="B14">
        <v>560</v>
      </c>
      <c r="C14">
        <f t="shared" si="0"/>
        <v>810.41539</v>
      </c>
      <c r="D14">
        <f t="shared" si="1"/>
        <v>-250.41539</v>
      </c>
      <c r="E14">
        <f t="shared" si="2"/>
        <v>62707.867548852104</v>
      </c>
      <c r="F14">
        <f t="shared" si="3"/>
        <v>-362.67999999999995</v>
      </c>
      <c r="G14">
        <f t="shared" si="4"/>
        <v>131536.78239999997</v>
      </c>
    </row>
    <row r="15" spans="1:12" x14ac:dyDescent="0.3">
      <c r="A15">
        <v>54754</v>
      </c>
      <c r="B15">
        <v>422</v>
      </c>
      <c r="C15">
        <f t="shared" si="0"/>
        <v>818.25611600000002</v>
      </c>
      <c r="D15">
        <f t="shared" si="1"/>
        <v>-396.25611600000002</v>
      </c>
      <c r="E15">
        <f t="shared" si="2"/>
        <v>157018.90946740546</v>
      </c>
      <c r="F15">
        <f t="shared" si="3"/>
        <v>-500.67999999999995</v>
      </c>
      <c r="G15">
        <f t="shared" si="4"/>
        <v>250680.46239999996</v>
      </c>
    </row>
    <row r="16" spans="1:12" x14ac:dyDescent="0.3">
      <c r="A16">
        <v>56115</v>
      </c>
      <c r="B16">
        <v>835</v>
      </c>
      <c r="C16">
        <f t="shared" si="0"/>
        <v>818.60181</v>
      </c>
      <c r="D16">
        <f t="shared" si="1"/>
        <v>16.39819</v>
      </c>
      <c r="E16">
        <f t="shared" si="2"/>
        <v>268.90063527609999</v>
      </c>
      <c r="F16">
        <f t="shared" si="3"/>
        <v>-87.67999999999995</v>
      </c>
      <c r="G16">
        <f t="shared" si="4"/>
        <v>7687.782399999991</v>
      </c>
    </row>
    <row r="17" spans="1:7" x14ac:dyDescent="0.3">
      <c r="A17">
        <v>33785</v>
      </c>
      <c r="B17">
        <v>374</v>
      </c>
      <c r="C17">
        <f t="shared" si="0"/>
        <v>812.92999000000009</v>
      </c>
      <c r="D17">
        <f t="shared" si="1"/>
        <v>-438.92999000000009</v>
      </c>
      <c r="E17">
        <f t="shared" si="2"/>
        <v>192659.53612140019</v>
      </c>
      <c r="F17">
        <f t="shared" si="3"/>
        <v>-548.67999999999995</v>
      </c>
      <c r="G17">
        <f t="shared" si="4"/>
        <v>301049.74239999993</v>
      </c>
    </row>
    <row r="18" spans="1:7" x14ac:dyDescent="0.3">
      <c r="A18">
        <v>677440</v>
      </c>
      <c r="B18">
        <v>1143</v>
      </c>
      <c r="C18">
        <f t="shared" si="0"/>
        <v>976.41836000000001</v>
      </c>
      <c r="D18">
        <f t="shared" si="1"/>
        <v>166.58163999999999</v>
      </c>
      <c r="E18">
        <f t="shared" si="2"/>
        <v>27749.442785089599</v>
      </c>
      <c r="F18">
        <f t="shared" si="3"/>
        <v>220.32000000000005</v>
      </c>
      <c r="G18">
        <f t="shared" si="4"/>
        <v>48540.902400000021</v>
      </c>
    </row>
    <row r="19" spans="1:7" x14ac:dyDescent="0.3">
      <c r="A19">
        <v>39141</v>
      </c>
      <c r="B19">
        <v>714</v>
      </c>
      <c r="C19">
        <f t="shared" si="0"/>
        <v>814.29041400000006</v>
      </c>
      <c r="D19">
        <f t="shared" si="1"/>
        <v>-100.29041400000006</v>
      </c>
      <c r="E19">
        <f t="shared" si="2"/>
        <v>10058.167140291407</v>
      </c>
      <c r="F19">
        <f t="shared" si="3"/>
        <v>-208.67999999999995</v>
      </c>
      <c r="G19">
        <f t="shared" si="4"/>
        <v>43547.34239999998</v>
      </c>
    </row>
    <row r="20" spans="1:7" x14ac:dyDescent="0.3">
      <c r="A20">
        <v>84242</v>
      </c>
      <c r="B20">
        <v>1109</v>
      </c>
      <c r="C20">
        <f t="shared" si="0"/>
        <v>825.74606800000004</v>
      </c>
      <c r="D20">
        <f t="shared" si="1"/>
        <v>283.25393199999996</v>
      </c>
      <c r="E20">
        <f t="shared" si="2"/>
        <v>80232.78999346061</v>
      </c>
      <c r="F20">
        <f t="shared" si="3"/>
        <v>186.32000000000005</v>
      </c>
      <c r="G20">
        <f t="shared" si="4"/>
        <v>34715.142400000019</v>
      </c>
    </row>
    <row r="21" spans="1:7" x14ac:dyDescent="0.3">
      <c r="A21">
        <v>188864</v>
      </c>
      <c r="B21">
        <v>857</v>
      </c>
      <c r="C21">
        <f t="shared" si="0"/>
        <v>852.32005600000002</v>
      </c>
      <c r="D21">
        <f t="shared" si="1"/>
        <v>4.6799439999999777</v>
      </c>
      <c r="E21">
        <f t="shared" si="2"/>
        <v>21.901875843135791</v>
      </c>
      <c r="F21">
        <f t="shared" si="3"/>
        <v>-65.67999999999995</v>
      </c>
      <c r="G21">
        <f t="shared" si="4"/>
        <v>4313.8623999999936</v>
      </c>
    </row>
    <row r="22" spans="1:7" x14ac:dyDescent="0.3">
      <c r="A22">
        <v>1461738</v>
      </c>
      <c r="B22">
        <v>1176</v>
      </c>
      <c r="C22">
        <f t="shared" si="0"/>
        <v>1175.630052</v>
      </c>
      <c r="D22">
        <f t="shared" si="1"/>
        <v>0.36994800000002215</v>
      </c>
      <c r="E22">
        <f t="shared" si="2"/>
        <v>0.13686152270401639</v>
      </c>
      <c r="F22">
        <f t="shared" si="3"/>
        <v>253.32000000000005</v>
      </c>
      <c r="G22">
        <f t="shared" si="4"/>
        <v>64171.022400000023</v>
      </c>
    </row>
    <row r="23" spans="1:7" x14ac:dyDescent="0.3">
      <c r="A23">
        <v>88290</v>
      </c>
      <c r="B23">
        <v>554</v>
      </c>
      <c r="C23">
        <f t="shared" si="0"/>
        <v>826.77426000000003</v>
      </c>
      <c r="D23">
        <f t="shared" si="1"/>
        <v>-272.77426000000003</v>
      </c>
      <c r="E23">
        <f t="shared" si="2"/>
        <v>74405.79691854761</v>
      </c>
      <c r="F23">
        <f t="shared" si="3"/>
        <v>-368.67999999999995</v>
      </c>
      <c r="G23">
        <f t="shared" si="4"/>
        <v>135924.94239999997</v>
      </c>
    </row>
    <row r="24" spans="1:7" x14ac:dyDescent="0.3">
      <c r="A24">
        <v>780764</v>
      </c>
      <c r="B24">
        <v>1591</v>
      </c>
      <c r="C24">
        <f t="shared" si="0"/>
        <v>1002.662656</v>
      </c>
      <c r="D24">
        <f t="shared" si="1"/>
        <v>588.33734400000003</v>
      </c>
      <c r="E24">
        <f t="shared" si="2"/>
        <v>346140.83034497435</v>
      </c>
      <c r="F24">
        <f t="shared" si="3"/>
        <v>668.32</v>
      </c>
      <c r="G24">
        <f t="shared" si="4"/>
        <v>446651.62240000005</v>
      </c>
    </row>
    <row r="25" spans="1:7" x14ac:dyDescent="0.3">
      <c r="A25">
        <v>30948</v>
      </c>
      <c r="B25">
        <v>567</v>
      </c>
      <c r="C25">
        <f t="shared" si="0"/>
        <v>812.20939199999998</v>
      </c>
      <c r="D25">
        <f t="shared" si="1"/>
        <v>-245.20939199999998</v>
      </c>
      <c r="E25">
        <f t="shared" si="2"/>
        <v>60127.645925009652</v>
      </c>
      <c r="F25">
        <f t="shared" si="3"/>
        <v>-355.67999999999995</v>
      </c>
      <c r="G25">
        <f t="shared" si="4"/>
        <v>126508.26239999996</v>
      </c>
    </row>
    <row r="26" spans="1:7" x14ac:dyDescent="0.3">
      <c r="A26">
        <v>243034</v>
      </c>
      <c r="B26">
        <v>1150</v>
      </c>
      <c r="C26">
        <f t="shared" si="0"/>
        <v>866.07923600000004</v>
      </c>
      <c r="D26">
        <f t="shared" si="1"/>
        <v>283.92076399999996</v>
      </c>
      <c r="E26">
        <f t="shared" si="2"/>
        <v>80611.000230343678</v>
      </c>
      <c r="F26">
        <f t="shared" si="3"/>
        <v>227.32000000000005</v>
      </c>
      <c r="G26">
        <f t="shared" si="4"/>
        <v>51674.382400000024</v>
      </c>
    </row>
    <row r="27" spans="1:7" x14ac:dyDescent="0.3">
      <c r="A27">
        <v>466136</v>
      </c>
      <c r="B27">
        <v>887</v>
      </c>
      <c r="C27">
        <f t="shared" si="0"/>
        <v>922.74714400000005</v>
      </c>
      <c r="D27">
        <f t="shared" si="1"/>
        <v>-35.747144000000048</v>
      </c>
      <c r="E27">
        <f t="shared" si="2"/>
        <v>1277.8583041567395</v>
      </c>
      <c r="F27">
        <f t="shared" si="3"/>
        <v>-35.67999999999995</v>
      </c>
      <c r="G27">
        <f t="shared" si="4"/>
        <v>1273.0623999999964</v>
      </c>
    </row>
    <row r="28" spans="1:7" x14ac:dyDescent="0.3">
      <c r="A28">
        <v>3118</v>
      </c>
      <c r="B28">
        <v>718</v>
      </c>
      <c r="C28">
        <f t="shared" si="0"/>
        <v>805.14057200000002</v>
      </c>
      <c r="D28">
        <f t="shared" si="1"/>
        <v>-87.14057200000002</v>
      </c>
      <c r="E28">
        <f t="shared" si="2"/>
        <v>7593.4792884871877</v>
      </c>
      <c r="F28">
        <f t="shared" si="3"/>
        <v>-204.67999999999995</v>
      </c>
      <c r="G28">
        <f t="shared" si="4"/>
        <v>41893.902399999977</v>
      </c>
    </row>
    <row r="29" spans="1:7" x14ac:dyDescent="0.3">
      <c r="A29">
        <v>228852</v>
      </c>
      <c r="B29">
        <v>1082</v>
      </c>
      <c r="C29">
        <f t="shared" si="0"/>
        <v>862.47700800000007</v>
      </c>
      <c r="D29">
        <f t="shared" si="1"/>
        <v>219.52299199999993</v>
      </c>
      <c r="E29">
        <f t="shared" si="2"/>
        <v>48190.344016632036</v>
      </c>
      <c r="F29">
        <f t="shared" si="3"/>
        <v>159.32000000000005</v>
      </c>
      <c r="G29">
        <f t="shared" si="4"/>
        <v>25382.862400000016</v>
      </c>
    </row>
    <row r="30" spans="1:7" x14ac:dyDescent="0.3">
      <c r="A30">
        <v>210729</v>
      </c>
      <c r="B30">
        <v>596</v>
      </c>
      <c r="C30">
        <f t="shared" si="0"/>
        <v>857.87376600000005</v>
      </c>
      <c r="D30">
        <f t="shared" si="1"/>
        <v>-261.87376600000005</v>
      </c>
      <c r="E30">
        <f t="shared" si="2"/>
        <v>68577.869319022779</v>
      </c>
      <c r="F30">
        <f t="shared" si="3"/>
        <v>-326.67999999999995</v>
      </c>
      <c r="G30">
        <f t="shared" si="4"/>
        <v>106719.82239999996</v>
      </c>
    </row>
    <row r="31" spans="1:7" x14ac:dyDescent="0.3">
      <c r="A31">
        <v>44798</v>
      </c>
      <c r="B31">
        <v>1041</v>
      </c>
      <c r="C31">
        <f t="shared" si="0"/>
        <v>815.72729200000003</v>
      </c>
      <c r="D31">
        <f t="shared" si="1"/>
        <v>225.27270799999997</v>
      </c>
      <c r="E31">
        <f t="shared" si="2"/>
        <v>50747.792969653252</v>
      </c>
      <c r="F31">
        <f t="shared" si="3"/>
        <v>118.32000000000005</v>
      </c>
      <c r="G31">
        <f t="shared" si="4"/>
        <v>13999.622400000011</v>
      </c>
    </row>
    <row r="32" spans="1:7" x14ac:dyDescent="0.3">
      <c r="A32">
        <v>23542</v>
      </c>
      <c r="B32">
        <v>510</v>
      </c>
      <c r="C32">
        <f t="shared" si="0"/>
        <v>810.32826799999998</v>
      </c>
      <c r="D32">
        <f t="shared" si="1"/>
        <v>-300.32826799999998</v>
      </c>
      <c r="E32">
        <f t="shared" si="2"/>
        <v>90197.068559879815</v>
      </c>
      <c r="F32">
        <f t="shared" si="3"/>
        <v>-412.67999999999995</v>
      </c>
      <c r="G32">
        <f t="shared" si="4"/>
        <v>170304.78239999997</v>
      </c>
    </row>
    <row r="33" spans="1:7" x14ac:dyDescent="0.3">
      <c r="A33">
        <v>157817</v>
      </c>
      <c r="B33">
        <v>1072</v>
      </c>
      <c r="C33">
        <f t="shared" si="0"/>
        <v>844.43411800000001</v>
      </c>
      <c r="D33">
        <f t="shared" si="1"/>
        <v>227.56588199999999</v>
      </c>
      <c r="E33">
        <f t="shared" si="2"/>
        <v>51786.230650437916</v>
      </c>
      <c r="F33">
        <f t="shared" si="3"/>
        <v>149.32000000000005</v>
      </c>
      <c r="G33">
        <f t="shared" si="4"/>
        <v>22296.462400000015</v>
      </c>
    </row>
    <row r="34" spans="1:7" x14ac:dyDescent="0.3">
      <c r="A34">
        <v>161608</v>
      </c>
      <c r="B34">
        <v>1180</v>
      </c>
      <c r="C34">
        <f t="shared" si="0"/>
        <v>845.39703200000008</v>
      </c>
      <c r="D34">
        <f t="shared" si="1"/>
        <v>334.60296799999992</v>
      </c>
      <c r="E34">
        <f t="shared" si="2"/>
        <v>111959.14619440897</v>
      </c>
      <c r="F34">
        <f t="shared" si="3"/>
        <v>257.32000000000005</v>
      </c>
      <c r="G34">
        <f t="shared" si="4"/>
        <v>66213.582400000028</v>
      </c>
    </row>
    <row r="35" spans="1:7" x14ac:dyDescent="0.3">
      <c r="A35">
        <v>154201</v>
      </c>
      <c r="B35">
        <v>1123</v>
      </c>
      <c r="C35">
        <f t="shared" si="0"/>
        <v>843.51565400000004</v>
      </c>
      <c r="D35">
        <f t="shared" si="1"/>
        <v>279.48434599999996</v>
      </c>
      <c r="E35">
        <f t="shared" si="2"/>
        <v>78111.499659047695</v>
      </c>
      <c r="F35">
        <f t="shared" si="3"/>
        <v>200.32000000000005</v>
      </c>
      <c r="G35">
        <f t="shared" si="4"/>
        <v>40128.102400000018</v>
      </c>
    </row>
    <row r="36" spans="1:7" x14ac:dyDescent="0.3">
      <c r="A36">
        <v>277489</v>
      </c>
      <c r="B36">
        <v>1029</v>
      </c>
      <c r="C36">
        <f t="shared" si="0"/>
        <v>874.83080600000005</v>
      </c>
      <c r="D36">
        <f t="shared" si="1"/>
        <v>154.16919399999995</v>
      </c>
      <c r="E36">
        <f t="shared" si="2"/>
        <v>23768.14037860962</v>
      </c>
      <c r="F36">
        <f t="shared" si="3"/>
        <v>106.32000000000005</v>
      </c>
      <c r="G36">
        <f t="shared" si="4"/>
        <v>11303.942400000011</v>
      </c>
    </row>
    <row r="37" spans="1:7" x14ac:dyDescent="0.3">
      <c r="A37">
        <v>296560</v>
      </c>
      <c r="B37">
        <v>1150</v>
      </c>
      <c r="C37">
        <f t="shared" si="0"/>
        <v>879.67484000000002</v>
      </c>
      <c r="D37">
        <f t="shared" si="1"/>
        <v>270.32515999999998</v>
      </c>
      <c r="E37">
        <f t="shared" si="2"/>
        <v>73075.692129025585</v>
      </c>
      <c r="F37">
        <f t="shared" si="3"/>
        <v>227.32000000000005</v>
      </c>
      <c r="G37">
        <f t="shared" si="4"/>
        <v>51674.382400000024</v>
      </c>
    </row>
    <row r="38" spans="1:7" x14ac:dyDescent="0.3">
      <c r="A38">
        <v>60199</v>
      </c>
      <c r="B38">
        <v>722</v>
      </c>
      <c r="C38">
        <f t="shared" si="0"/>
        <v>819.63914599999998</v>
      </c>
      <c r="D38">
        <f t="shared" si="1"/>
        <v>-97.639145999999982</v>
      </c>
      <c r="E38">
        <f t="shared" si="2"/>
        <v>9533.4028316093118</v>
      </c>
      <c r="F38">
        <f t="shared" si="3"/>
        <v>-200.67999999999995</v>
      </c>
      <c r="G38">
        <f t="shared" si="4"/>
        <v>40272.462399999982</v>
      </c>
    </row>
    <row r="39" spans="1:7" x14ac:dyDescent="0.3">
      <c r="A39">
        <v>72346</v>
      </c>
      <c r="B39">
        <v>996</v>
      </c>
      <c r="C39">
        <f t="shared" si="0"/>
        <v>822.72448400000007</v>
      </c>
      <c r="D39">
        <f t="shared" si="1"/>
        <v>173.27551599999993</v>
      </c>
      <c r="E39">
        <f t="shared" si="2"/>
        <v>30024.40444506623</v>
      </c>
      <c r="F39">
        <f t="shared" si="3"/>
        <v>73.32000000000005</v>
      </c>
      <c r="G39">
        <f t="shared" si="4"/>
        <v>5375.8224000000073</v>
      </c>
    </row>
    <row r="40" spans="1:7" x14ac:dyDescent="0.3">
      <c r="A40">
        <v>45612</v>
      </c>
      <c r="B40">
        <v>1130</v>
      </c>
      <c r="C40">
        <f t="shared" si="0"/>
        <v>815.93404800000008</v>
      </c>
      <c r="D40">
        <f t="shared" si="1"/>
        <v>314.06595199999992</v>
      </c>
      <c r="E40">
        <f t="shared" si="2"/>
        <v>98637.422205666255</v>
      </c>
      <c r="F40">
        <f t="shared" si="3"/>
        <v>207.32000000000005</v>
      </c>
      <c r="G40">
        <f t="shared" si="4"/>
        <v>42981.582400000021</v>
      </c>
    </row>
    <row r="41" spans="1:7" x14ac:dyDescent="0.3">
      <c r="A41">
        <v>616022</v>
      </c>
      <c r="B41">
        <v>1112</v>
      </c>
      <c r="C41">
        <f t="shared" si="0"/>
        <v>960.81818799999996</v>
      </c>
      <c r="D41">
        <f t="shared" si="1"/>
        <v>151.18181200000004</v>
      </c>
      <c r="E41">
        <f t="shared" si="2"/>
        <v>22855.940279603354</v>
      </c>
      <c r="F41">
        <f t="shared" si="3"/>
        <v>189.32000000000005</v>
      </c>
      <c r="G41">
        <f t="shared" si="4"/>
        <v>35842.062400000017</v>
      </c>
    </row>
    <row r="42" spans="1:7" x14ac:dyDescent="0.3">
      <c r="A42">
        <v>388439</v>
      </c>
      <c r="B42">
        <v>1191</v>
      </c>
      <c r="C42">
        <f t="shared" si="0"/>
        <v>903.01210600000002</v>
      </c>
      <c r="D42">
        <f t="shared" si="1"/>
        <v>287.98789399999998</v>
      </c>
      <c r="E42">
        <f t="shared" si="2"/>
        <v>82937.027090555232</v>
      </c>
      <c r="F42">
        <f t="shared" si="3"/>
        <v>268.32000000000005</v>
      </c>
      <c r="G42">
        <f t="shared" si="4"/>
        <v>71995.622400000022</v>
      </c>
    </row>
    <row r="43" spans="1:7" x14ac:dyDescent="0.3">
      <c r="A43">
        <v>229290</v>
      </c>
      <c r="B43">
        <v>725</v>
      </c>
      <c r="C43">
        <f t="shared" si="0"/>
        <v>862.58825999999999</v>
      </c>
      <c r="D43">
        <f t="shared" si="1"/>
        <v>-137.58825999999999</v>
      </c>
      <c r="E43">
        <f t="shared" si="2"/>
        <v>18930.529289827598</v>
      </c>
      <c r="F43">
        <f t="shared" si="3"/>
        <v>-197.67999999999995</v>
      </c>
      <c r="G43">
        <f t="shared" si="4"/>
        <v>39077.38239999998</v>
      </c>
    </row>
    <row r="44" spans="1:7" x14ac:dyDescent="0.3">
      <c r="A44">
        <v>13059</v>
      </c>
      <c r="B44">
        <v>607</v>
      </c>
      <c r="C44">
        <f t="shared" si="0"/>
        <v>807.66558600000008</v>
      </c>
      <c r="D44">
        <f t="shared" si="1"/>
        <v>-200.66558600000008</v>
      </c>
      <c r="E44">
        <f t="shared" si="2"/>
        <v>40266.677404723428</v>
      </c>
      <c r="F44">
        <f t="shared" si="3"/>
        <v>-315.67999999999995</v>
      </c>
      <c r="G44">
        <f t="shared" si="4"/>
        <v>99653.862399999969</v>
      </c>
    </row>
    <row r="45" spans="1:7" x14ac:dyDescent="0.3">
      <c r="A45">
        <v>232487</v>
      </c>
      <c r="B45">
        <v>1030</v>
      </c>
      <c r="C45">
        <f t="shared" si="0"/>
        <v>863.40029800000002</v>
      </c>
      <c r="D45">
        <f t="shared" si="1"/>
        <v>166.59970199999998</v>
      </c>
      <c r="E45">
        <f t="shared" si="2"/>
        <v>27755.460706488797</v>
      </c>
      <c r="F45">
        <f t="shared" si="3"/>
        <v>107.32000000000005</v>
      </c>
      <c r="G45">
        <f t="shared" si="4"/>
        <v>11517.58240000001</v>
      </c>
    </row>
    <row r="46" spans="1:7" x14ac:dyDescent="0.3">
      <c r="A46">
        <v>1304</v>
      </c>
      <c r="B46">
        <v>611</v>
      </c>
      <c r="C46">
        <f t="shared" si="0"/>
        <v>804.67981600000007</v>
      </c>
      <c r="D46">
        <f t="shared" si="1"/>
        <v>-193.67981600000007</v>
      </c>
      <c r="E46">
        <f t="shared" si="2"/>
        <v>37511.871125793885</v>
      </c>
      <c r="F46">
        <f t="shared" si="3"/>
        <v>-311.67999999999995</v>
      </c>
      <c r="G46">
        <f t="shared" si="4"/>
        <v>97144.422399999967</v>
      </c>
    </row>
    <row r="47" spans="1:7" x14ac:dyDescent="0.3">
      <c r="A47">
        <v>9081</v>
      </c>
      <c r="B47">
        <v>1217</v>
      </c>
      <c r="C47">
        <f t="shared" si="0"/>
        <v>806.65517399999999</v>
      </c>
      <c r="D47">
        <f t="shared" si="1"/>
        <v>410.34482600000001</v>
      </c>
      <c r="E47">
        <f t="shared" si="2"/>
        <v>168382.8762249703</v>
      </c>
      <c r="F47">
        <f t="shared" si="3"/>
        <v>294.32000000000005</v>
      </c>
      <c r="G47">
        <f t="shared" si="4"/>
        <v>86624.262400000036</v>
      </c>
    </row>
    <row r="48" spans="1:7" x14ac:dyDescent="0.3">
      <c r="A48">
        <v>31346</v>
      </c>
      <c r="B48">
        <v>996</v>
      </c>
      <c r="C48">
        <f t="shared" si="0"/>
        <v>812.31048400000009</v>
      </c>
      <c r="D48">
        <f t="shared" si="1"/>
        <v>183.68951599999991</v>
      </c>
      <c r="E48">
        <f t="shared" si="2"/>
        <v>33741.838288314226</v>
      </c>
      <c r="F48">
        <f t="shared" si="3"/>
        <v>73.32000000000005</v>
      </c>
      <c r="G48">
        <f t="shared" si="4"/>
        <v>5375.8224000000073</v>
      </c>
    </row>
    <row r="49" spans="1:7" x14ac:dyDescent="0.3">
      <c r="A49">
        <v>418736</v>
      </c>
      <c r="B49">
        <v>1043</v>
      </c>
      <c r="C49">
        <f t="shared" si="0"/>
        <v>910.70754399999998</v>
      </c>
      <c r="D49">
        <f t="shared" si="1"/>
        <v>132.29245600000002</v>
      </c>
      <c r="E49">
        <f t="shared" si="2"/>
        <v>17501.293914511942</v>
      </c>
      <c r="F49">
        <f t="shared" si="3"/>
        <v>120.32000000000005</v>
      </c>
      <c r="G49">
        <f t="shared" si="4"/>
        <v>14476.902400000012</v>
      </c>
    </row>
    <row r="50" spans="1:7" x14ac:dyDescent="0.3">
      <c r="A50">
        <v>454207</v>
      </c>
      <c r="B50">
        <v>1512</v>
      </c>
      <c r="C50">
        <f t="shared" si="0"/>
        <v>919.71717799999999</v>
      </c>
      <c r="D50">
        <f t="shared" si="1"/>
        <v>592.28282200000001</v>
      </c>
      <c r="E50">
        <f t="shared" si="2"/>
        <v>350798.94123628369</v>
      </c>
      <c r="F50">
        <f t="shared" si="3"/>
        <v>589.32000000000005</v>
      </c>
      <c r="G50">
        <f t="shared" si="4"/>
        <v>347298.06240000005</v>
      </c>
    </row>
    <row r="51" spans="1:7" x14ac:dyDescent="0.3">
      <c r="A51">
        <v>204688</v>
      </c>
      <c r="B51">
        <v>1145</v>
      </c>
      <c r="C51">
        <f t="shared" si="0"/>
        <v>856.33935200000008</v>
      </c>
      <c r="D51">
        <f t="shared" si="1"/>
        <v>288.66064799999992</v>
      </c>
      <c r="E51">
        <f t="shared" si="2"/>
        <v>83324.969703779861</v>
      </c>
      <c r="F51">
        <f t="shared" si="3"/>
        <v>222.32000000000005</v>
      </c>
      <c r="G51">
        <f t="shared" si="4"/>
        <v>49426.18240000002</v>
      </c>
    </row>
    <row r="52" spans="1:7" x14ac:dyDescent="0.3">
      <c r="A52">
        <v>60</v>
      </c>
      <c r="B52">
        <v>374</v>
      </c>
      <c r="C52">
        <f t="shared" si="0"/>
        <v>804.36383999999998</v>
      </c>
      <c r="D52">
        <f t="shared" si="1"/>
        <v>-430.36383999999998</v>
      </c>
      <c r="E52">
        <f t="shared" si="2"/>
        <v>185213.03477954559</v>
      </c>
      <c r="F52">
        <f t="shared" si="3"/>
        <v>-548.67999999999995</v>
      </c>
      <c r="G52">
        <f t="shared" si="4"/>
        <v>301049.74239999993</v>
      </c>
    </row>
    <row r="53" spans="1:7" x14ac:dyDescent="0.3">
      <c r="A53">
        <v>415706</v>
      </c>
      <c r="B53">
        <v>837</v>
      </c>
      <c r="C53">
        <f t="shared" si="0"/>
        <v>909.93792400000007</v>
      </c>
      <c r="D53">
        <f t="shared" si="1"/>
        <v>-72.937924000000066</v>
      </c>
      <c r="E53">
        <f t="shared" si="2"/>
        <v>5319.9407574297857</v>
      </c>
      <c r="F53">
        <f t="shared" si="3"/>
        <v>-85.67999999999995</v>
      </c>
      <c r="G53">
        <f t="shared" si="4"/>
        <v>7341.0623999999916</v>
      </c>
    </row>
    <row r="54" spans="1:7" x14ac:dyDescent="0.3">
      <c r="A54">
        <v>202632</v>
      </c>
      <c r="B54">
        <v>1299</v>
      </c>
      <c r="C54">
        <f t="shared" si="0"/>
        <v>855.81712800000003</v>
      </c>
      <c r="D54">
        <f t="shared" si="1"/>
        <v>443.18287199999997</v>
      </c>
      <c r="E54">
        <f t="shared" si="2"/>
        <v>196411.05803416835</v>
      </c>
      <c r="F54">
        <f t="shared" si="3"/>
        <v>376.32000000000005</v>
      </c>
      <c r="G54">
        <f t="shared" si="4"/>
        <v>141616.74240000005</v>
      </c>
    </row>
    <row r="55" spans="1:7" x14ac:dyDescent="0.3">
      <c r="A55">
        <v>1064771</v>
      </c>
      <c r="B55">
        <v>1410</v>
      </c>
      <c r="C55">
        <f t="shared" si="0"/>
        <v>1074.800434</v>
      </c>
      <c r="D55">
        <f t="shared" si="1"/>
        <v>335.199566</v>
      </c>
      <c r="E55">
        <f t="shared" si="2"/>
        <v>112358.74904658836</v>
      </c>
      <c r="F55">
        <f t="shared" si="3"/>
        <v>487.32000000000005</v>
      </c>
      <c r="G55">
        <f t="shared" si="4"/>
        <v>237480.78240000005</v>
      </c>
    </row>
    <row r="56" spans="1:7" x14ac:dyDescent="0.3">
      <c r="A56">
        <v>143719</v>
      </c>
      <c r="B56">
        <v>899</v>
      </c>
      <c r="C56">
        <f t="shared" si="0"/>
        <v>840.85322600000006</v>
      </c>
      <c r="D56">
        <f t="shared" si="1"/>
        <v>58.146773999999937</v>
      </c>
      <c r="E56">
        <f t="shared" si="2"/>
        <v>3381.0473266070685</v>
      </c>
      <c r="F56">
        <f t="shared" si="3"/>
        <v>-23.67999999999995</v>
      </c>
      <c r="G56">
        <f t="shared" si="4"/>
        <v>560.74239999999759</v>
      </c>
    </row>
    <row r="57" spans="1:7" x14ac:dyDescent="0.3">
      <c r="A57">
        <v>26710</v>
      </c>
      <c r="B57">
        <v>687</v>
      </c>
      <c r="C57">
        <f t="shared" si="0"/>
        <v>811.13294000000008</v>
      </c>
      <c r="D57">
        <f t="shared" si="1"/>
        <v>-124.13294000000008</v>
      </c>
      <c r="E57">
        <f t="shared" si="2"/>
        <v>15408.986793043619</v>
      </c>
      <c r="F57">
        <f t="shared" si="3"/>
        <v>-235.67999999999995</v>
      </c>
      <c r="G57">
        <f t="shared" si="4"/>
        <v>55545.062399999973</v>
      </c>
    </row>
    <row r="58" spans="1:7" x14ac:dyDescent="0.3">
      <c r="A58">
        <v>1208358</v>
      </c>
      <c r="B58">
        <v>1592</v>
      </c>
      <c r="C58">
        <f t="shared" si="0"/>
        <v>1111.271532</v>
      </c>
      <c r="D58">
        <f t="shared" si="1"/>
        <v>480.72846800000002</v>
      </c>
      <c r="E58">
        <f t="shared" si="2"/>
        <v>231099.85994562705</v>
      </c>
      <c r="F58">
        <f t="shared" si="3"/>
        <v>669.32</v>
      </c>
      <c r="G58">
        <f t="shared" si="4"/>
        <v>447989.26240000007</v>
      </c>
    </row>
    <row r="59" spans="1:7" x14ac:dyDescent="0.3">
      <c r="A59">
        <v>252974</v>
      </c>
      <c r="B59">
        <v>1184</v>
      </c>
      <c r="C59">
        <f t="shared" si="0"/>
        <v>868.60399600000005</v>
      </c>
      <c r="D59">
        <f t="shared" si="1"/>
        <v>315.39600399999995</v>
      </c>
      <c r="E59">
        <f t="shared" si="2"/>
        <v>99474.639339167989</v>
      </c>
      <c r="F59">
        <f t="shared" si="3"/>
        <v>261.32000000000005</v>
      </c>
      <c r="G59">
        <f t="shared" si="4"/>
        <v>68288.142400000026</v>
      </c>
    </row>
    <row r="60" spans="1:7" x14ac:dyDescent="0.3">
      <c r="A60">
        <v>266416</v>
      </c>
      <c r="B60">
        <v>918</v>
      </c>
      <c r="C60">
        <f t="shared" si="0"/>
        <v>872.01826400000004</v>
      </c>
      <c r="D60">
        <f t="shared" si="1"/>
        <v>45.981735999999955</v>
      </c>
      <c r="E60">
        <f t="shared" si="2"/>
        <v>2114.3200455736919</v>
      </c>
      <c r="F60">
        <f t="shared" si="3"/>
        <v>-4.67999999999995</v>
      </c>
      <c r="G60">
        <f t="shared" si="4"/>
        <v>21.902399999999531</v>
      </c>
    </row>
    <row r="61" spans="1:7" x14ac:dyDescent="0.3">
      <c r="A61">
        <v>9528</v>
      </c>
      <c r="B61">
        <v>817</v>
      </c>
      <c r="C61">
        <f t="shared" si="0"/>
        <v>806.76871200000005</v>
      </c>
      <c r="D61">
        <f t="shared" si="1"/>
        <v>10.23128799999995</v>
      </c>
      <c r="E61">
        <f t="shared" si="2"/>
        <v>104.67925413894297</v>
      </c>
      <c r="F61">
        <f t="shared" si="3"/>
        <v>-105.67999999999995</v>
      </c>
      <c r="G61">
        <f t="shared" si="4"/>
        <v>11168.262399999989</v>
      </c>
    </row>
    <row r="62" spans="1:7" x14ac:dyDescent="0.3">
      <c r="A62">
        <v>38508</v>
      </c>
      <c r="B62">
        <v>1129</v>
      </c>
      <c r="C62">
        <f t="shared" si="0"/>
        <v>814.12963200000002</v>
      </c>
      <c r="D62">
        <f t="shared" si="1"/>
        <v>314.87036799999998</v>
      </c>
      <c r="E62">
        <f t="shared" si="2"/>
        <v>99143.348644455415</v>
      </c>
      <c r="F62">
        <f t="shared" si="3"/>
        <v>206.32000000000005</v>
      </c>
      <c r="G62">
        <f t="shared" si="4"/>
        <v>42567.942400000022</v>
      </c>
    </row>
    <row r="63" spans="1:7" x14ac:dyDescent="0.3">
      <c r="A63">
        <v>12620</v>
      </c>
      <c r="B63">
        <v>852</v>
      </c>
      <c r="C63">
        <f t="shared" si="0"/>
        <v>807.55408</v>
      </c>
      <c r="D63">
        <f t="shared" si="1"/>
        <v>44.445920000000001</v>
      </c>
      <c r="E63">
        <f t="shared" si="2"/>
        <v>1975.4398046464</v>
      </c>
      <c r="F63">
        <f t="shared" si="3"/>
        <v>-70.67999999999995</v>
      </c>
      <c r="G63">
        <f t="shared" si="4"/>
        <v>4995.6623999999929</v>
      </c>
    </row>
    <row r="64" spans="1:7" x14ac:dyDescent="0.3">
      <c r="A64">
        <v>114406</v>
      </c>
      <c r="B64">
        <v>1200</v>
      </c>
      <c r="C64">
        <f t="shared" si="0"/>
        <v>833.40772400000003</v>
      </c>
      <c r="D64">
        <f t="shared" si="1"/>
        <v>366.59227599999997</v>
      </c>
      <c r="E64">
        <f t="shared" si="2"/>
        <v>134389.89682286014</v>
      </c>
      <c r="F64">
        <f t="shared" si="3"/>
        <v>277.32000000000005</v>
      </c>
      <c r="G64">
        <f t="shared" si="4"/>
        <v>76906.382400000031</v>
      </c>
    </row>
    <row r="65" spans="1:7" x14ac:dyDescent="0.3">
      <c r="A65">
        <v>2140</v>
      </c>
      <c r="B65">
        <v>390</v>
      </c>
      <c r="C65">
        <f t="shared" si="0"/>
        <v>804.89215999999999</v>
      </c>
      <c r="D65">
        <f t="shared" si="1"/>
        <v>-414.89215999999999</v>
      </c>
      <c r="E65">
        <f t="shared" si="2"/>
        <v>172135.5044294656</v>
      </c>
      <c r="F65">
        <f t="shared" si="3"/>
        <v>-532.67999999999995</v>
      </c>
      <c r="G65">
        <f t="shared" si="4"/>
        <v>283747.98239999992</v>
      </c>
    </row>
    <row r="66" spans="1:7" x14ac:dyDescent="0.3">
      <c r="A66">
        <v>5143</v>
      </c>
      <c r="B66">
        <v>625</v>
      </c>
      <c r="C66">
        <f t="shared" si="0"/>
        <v>805.65492200000006</v>
      </c>
      <c r="D66">
        <f t="shared" si="1"/>
        <v>-180.65492200000006</v>
      </c>
      <c r="E66">
        <f t="shared" si="2"/>
        <v>32636.200842826103</v>
      </c>
      <c r="F66">
        <f t="shared" si="3"/>
        <v>-297.67999999999995</v>
      </c>
      <c r="G66">
        <f t="shared" si="4"/>
        <v>88613.382399999973</v>
      </c>
    </row>
    <row r="67" spans="1:7" x14ac:dyDescent="0.3">
      <c r="A67">
        <v>9076</v>
      </c>
      <c r="B67">
        <v>696</v>
      </c>
      <c r="C67">
        <f t="shared" ref="C67:C101" si="5">804.3486+PRODUCT(A67,0.000254)</f>
        <v>806.65390400000001</v>
      </c>
      <c r="D67">
        <f t="shared" ref="D67:D101" si="6">B67-C67</f>
        <v>-110.65390400000001</v>
      </c>
      <c r="E67">
        <f t="shared" ref="E67:E101" si="7">PRODUCT(D67,D67)</f>
        <v>12244.286470441219</v>
      </c>
      <c r="F67">
        <f t="shared" ref="F67:F101" si="8">B67-922.68</f>
        <v>-226.67999999999995</v>
      </c>
      <c r="G67">
        <f t="shared" ref="G67:G101" si="9">PRODUCT(F67,F67)</f>
        <v>51383.822399999975</v>
      </c>
    </row>
    <row r="68" spans="1:7" x14ac:dyDescent="0.3">
      <c r="A68">
        <v>3760660</v>
      </c>
      <c r="B68">
        <v>2358</v>
      </c>
      <c r="C68">
        <f t="shared" si="5"/>
        <v>1759.5562399999999</v>
      </c>
      <c r="D68">
        <f t="shared" si="6"/>
        <v>598.44376000000011</v>
      </c>
      <c r="E68">
        <f t="shared" si="7"/>
        <v>358134.93388293771</v>
      </c>
      <c r="F68">
        <f t="shared" si="8"/>
        <v>1435.3200000000002</v>
      </c>
      <c r="G68">
        <f t="shared" si="9"/>
        <v>2060143.5024000006</v>
      </c>
    </row>
    <row r="69" spans="1:7" x14ac:dyDescent="0.3">
      <c r="A69">
        <v>529768</v>
      </c>
      <c r="B69">
        <v>1456</v>
      </c>
      <c r="C69">
        <f t="shared" si="5"/>
        <v>938.909672</v>
      </c>
      <c r="D69">
        <f t="shared" si="6"/>
        <v>517.090328</v>
      </c>
      <c r="E69">
        <f t="shared" si="7"/>
        <v>267382.4073111476</v>
      </c>
      <c r="F69">
        <f t="shared" si="8"/>
        <v>533.32000000000005</v>
      </c>
      <c r="G69">
        <f t="shared" si="9"/>
        <v>284430.22240000003</v>
      </c>
    </row>
    <row r="70" spans="1:7" x14ac:dyDescent="0.3">
      <c r="A70">
        <v>130197</v>
      </c>
      <c r="B70">
        <v>1038</v>
      </c>
      <c r="C70">
        <f t="shared" si="5"/>
        <v>837.41863799999999</v>
      </c>
      <c r="D70">
        <f t="shared" si="6"/>
        <v>200.58136200000001</v>
      </c>
      <c r="E70">
        <f t="shared" si="7"/>
        <v>40232.88278177505</v>
      </c>
      <c r="F70">
        <f t="shared" si="8"/>
        <v>115.32000000000005</v>
      </c>
      <c r="G70">
        <f t="shared" si="9"/>
        <v>13298.702400000011</v>
      </c>
    </row>
    <row r="71" spans="1:7" x14ac:dyDescent="0.3">
      <c r="A71">
        <v>66582</v>
      </c>
      <c r="B71">
        <v>1222</v>
      </c>
      <c r="C71">
        <f t="shared" si="5"/>
        <v>821.26042800000005</v>
      </c>
      <c r="D71">
        <f t="shared" si="6"/>
        <v>400.73957199999995</v>
      </c>
      <c r="E71">
        <f t="shared" si="7"/>
        <v>160592.20456674314</v>
      </c>
      <c r="F71">
        <f t="shared" si="8"/>
        <v>299.32000000000005</v>
      </c>
      <c r="G71">
        <f t="shared" si="9"/>
        <v>89592.462400000033</v>
      </c>
    </row>
    <row r="72" spans="1:7" x14ac:dyDescent="0.3">
      <c r="A72">
        <v>353442</v>
      </c>
      <c r="B72">
        <v>1020</v>
      </c>
      <c r="C72">
        <f t="shared" si="5"/>
        <v>894.12286800000004</v>
      </c>
      <c r="D72">
        <f t="shared" si="6"/>
        <v>125.87713199999996</v>
      </c>
      <c r="E72">
        <f t="shared" si="7"/>
        <v>15845.052360545415</v>
      </c>
      <c r="F72">
        <f t="shared" si="8"/>
        <v>97.32000000000005</v>
      </c>
      <c r="G72">
        <f t="shared" si="9"/>
        <v>9471.1824000000106</v>
      </c>
    </row>
    <row r="73" spans="1:7" x14ac:dyDescent="0.3">
      <c r="A73">
        <v>637155</v>
      </c>
      <c r="B73">
        <v>1401</v>
      </c>
      <c r="C73">
        <f t="shared" si="5"/>
        <v>966.18597</v>
      </c>
      <c r="D73">
        <f t="shared" si="6"/>
        <v>434.81403</v>
      </c>
      <c r="E73">
        <f t="shared" si="7"/>
        <v>189063.24068484092</v>
      </c>
      <c r="F73">
        <f t="shared" si="8"/>
        <v>478.32000000000005</v>
      </c>
      <c r="G73">
        <f t="shared" si="9"/>
        <v>228790.02240000005</v>
      </c>
    </row>
    <row r="74" spans="1:7" x14ac:dyDescent="0.3">
      <c r="A74">
        <v>8310</v>
      </c>
      <c r="B74">
        <v>881</v>
      </c>
      <c r="C74">
        <f t="shared" si="5"/>
        <v>806.45934</v>
      </c>
      <c r="D74">
        <f t="shared" si="6"/>
        <v>74.540660000000003</v>
      </c>
      <c r="E74">
        <f t="shared" si="7"/>
        <v>5556.3099932356008</v>
      </c>
      <c r="F74">
        <f t="shared" si="8"/>
        <v>-41.67999999999995</v>
      </c>
      <c r="G74">
        <f t="shared" si="9"/>
        <v>1737.2223999999958</v>
      </c>
    </row>
    <row r="75" spans="1:7" x14ac:dyDescent="0.3">
      <c r="A75">
        <v>6414</v>
      </c>
      <c r="B75">
        <v>679</v>
      </c>
      <c r="C75">
        <f t="shared" si="5"/>
        <v>805.977756</v>
      </c>
      <c r="D75">
        <f t="shared" si="6"/>
        <v>-126.977756</v>
      </c>
      <c r="E75">
        <f t="shared" si="7"/>
        <v>16123.350518795536</v>
      </c>
      <c r="F75">
        <f t="shared" si="8"/>
        <v>-243.67999999999995</v>
      </c>
      <c r="G75">
        <f t="shared" si="9"/>
        <v>59379.942399999978</v>
      </c>
    </row>
    <row r="76" spans="1:7" x14ac:dyDescent="0.3">
      <c r="A76">
        <v>87763</v>
      </c>
      <c r="B76">
        <v>886</v>
      </c>
      <c r="C76">
        <f t="shared" si="5"/>
        <v>826.64040199999999</v>
      </c>
      <c r="D76">
        <f t="shared" si="6"/>
        <v>59.359598000000005</v>
      </c>
      <c r="E76">
        <f t="shared" si="7"/>
        <v>3523.5618747216045</v>
      </c>
      <c r="F76">
        <f t="shared" si="8"/>
        <v>-36.67999999999995</v>
      </c>
      <c r="G76">
        <f t="shared" si="9"/>
        <v>1345.4223999999963</v>
      </c>
    </row>
    <row r="77" spans="1:7" x14ac:dyDescent="0.3">
      <c r="A77">
        <v>346727</v>
      </c>
      <c r="B77">
        <v>841</v>
      </c>
      <c r="C77">
        <f t="shared" si="5"/>
        <v>892.41725800000006</v>
      </c>
      <c r="D77">
        <f t="shared" si="6"/>
        <v>-51.417258000000061</v>
      </c>
      <c r="E77">
        <f t="shared" si="7"/>
        <v>2643.7344202385702</v>
      </c>
      <c r="F77">
        <f t="shared" si="8"/>
        <v>-81.67999999999995</v>
      </c>
      <c r="G77">
        <f t="shared" si="9"/>
        <v>6671.622399999992</v>
      </c>
    </row>
    <row r="78" spans="1:7" x14ac:dyDescent="0.3">
      <c r="A78">
        <v>164517</v>
      </c>
      <c r="B78">
        <v>470</v>
      </c>
      <c r="C78">
        <f t="shared" si="5"/>
        <v>846.13591800000006</v>
      </c>
      <c r="D78">
        <f t="shared" si="6"/>
        <v>-376.13591800000006</v>
      </c>
      <c r="E78">
        <f t="shared" si="7"/>
        <v>141478.22880970276</v>
      </c>
      <c r="F78">
        <f t="shared" si="8"/>
        <v>-452.67999999999995</v>
      </c>
      <c r="G78">
        <f t="shared" si="9"/>
        <v>204919.18239999996</v>
      </c>
    </row>
    <row r="79" spans="1:7" x14ac:dyDescent="0.3">
      <c r="A79">
        <v>122834</v>
      </c>
      <c r="B79">
        <v>883</v>
      </c>
      <c r="C79">
        <f t="shared" si="5"/>
        <v>835.54843600000004</v>
      </c>
      <c r="D79">
        <f t="shared" si="6"/>
        <v>47.451563999999962</v>
      </c>
      <c r="E79">
        <f t="shared" si="7"/>
        <v>2251.6509260460925</v>
      </c>
      <c r="F79">
        <f t="shared" si="8"/>
        <v>-39.67999999999995</v>
      </c>
      <c r="G79">
        <f t="shared" si="9"/>
        <v>1574.502399999996</v>
      </c>
    </row>
    <row r="80" spans="1:7" x14ac:dyDescent="0.3">
      <c r="A80">
        <v>716325</v>
      </c>
      <c r="B80">
        <v>1290</v>
      </c>
      <c r="C80">
        <f t="shared" si="5"/>
        <v>986.29515000000004</v>
      </c>
      <c r="D80">
        <f t="shared" si="6"/>
        <v>303.70484999999996</v>
      </c>
      <c r="E80">
        <f t="shared" si="7"/>
        <v>92236.635913522477</v>
      </c>
      <c r="F80">
        <f t="shared" si="8"/>
        <v>367.32000000000005</v>
      </c>
      <c r="G80">
        <f t="shared" si="9"/>
        <v>134923.98240000004</v>
      </c>
    </row>
    <row r="81" spans="1:7" x14ac:dyDescent="0.3">
      <c r="A81">
        <v>292882</v>
      </c>
      <c r="B81">
        <v>1427</v>
      </c>
      <c r="C81">
        <f t="shared" si="5"/>
        <v>878.74062800000002</v>
      </c>
      <c r="D81">
        <f t="shared" si="6"/>
        <v>548.25937199999998</v>
      </c>
      <c r="E81">
        <f t="shared" si="7"/>
        <v>300588.33898583439</v>
      </c>
      <c r="F81">
        <f t="shared" si="8"/>
        <v>504.32000000000005</v>
      </c>
      <c r="G81">
        <f t="shared" si="9"/>
        <v>254338.66240000006</v>
      </c>
    </row>
    <row r="82" spans="1:7" x14ac:dyDescent="0.3">
      <c r="A82">
        <v>80132</v>
      </c>
      <c r="B82">
        <v>696</v>
      </c>
      <c r="C82">
        <f t="shared" si="5"/>
        <v>824.70212800000002</v>
      </c>
      <c r="D82">
        <f t="shared" si="6"/>
        <v>-128.70212800000002</v>
      </c>
      <c r="E82">
        <f t="shared" si="7"/>
        <v>16564.237751728389</v>
      </c>
      <c r="F82">
        <f t="shared" si="8"/>
        <v>-226.67999999999995</v>
      </c>
      <c r="G82">
        <f t="shared" si="9"/>
        <v>51383.822399999975</v>
      </c>
    </row>
    <row r="83" spans="1:7" x14ac:dyDescent="0.3">
      <c r="A83">
        <v>555</v>
      </c>
      <c r="B83">
        <v>297</v>
      </c>
      <c r="C83">
        <f t="shared" si="5"/>
        <v>804.48957000000007</v>
      </c>
      <c r="D83">
        <f t="shared" si="6"/>
        <v>-507.48957000000007</v>
      </c>
      <c r="E83">
        <f t="shared" si="7"/>
        <v>257545.66365878496</v>
      </c>
      <c r="F83">
        <f t="shared" si="8"/>
        <v>-625.67999999999995</v>
      </c>
      <c r="G83">
        <f t="shared" si="9"/>
        <v>391475.46239999996</v>
      </c>
    </row>
    <row r="84" spans="1:7" x14ac:dyDescent="0.3">
      <c r="A84">
        <v>79986</v>
      </c>
      <c r="B84">
        <v>813</v>
      </c>
      <c r="C84">
        <f t="shared" si="5"/>
        <v>824.66504400000008</v>
      </c>
      <c r="D84">
        <f t="shared" si="6"/>
        <v>-11.66504400000008</v>
      </c>
      <c r="E84">
        <f t="shared" si="7"/>
        <v>136.07325152193786</v>
      </c>
      <c r="F84">
        <f t="shared" si="8"/>
        <v>-109.67999999999995</v>
      </c>
      <c r="G84">
        <f t="shared" si="9"/>
        <v>12029.702399999989</v>
      </c>
    </row>
    <row r="85" spans="1:7" x14ac:dyDescent="0.3">
      <c r="A85">
        <v>283712</v>
      </c>
      <c r="B85">
        <v>874</v>
      </c>
      <c r="C85">
        <f t="shared" si="5"/>
        <v>876.41144800000006</v>
      </c>
      <c r="D85">
        <f t="shared" si="6"/>
        <v>-2.411448000000064</v>
      </c>
      <c r="E85">
        <f t="shared" si="7"/>
        <v>5.8150814567043083</v>
      </c>
      <c r="F85">
        <f t="shared" si="8"/>
        <v>-48.67999999999995</v>
      </c>
      <c r="G85">
        <f t="shared" si="9"/>
        <v>2369.7423999999951</v>
      </c>
    </row>
    <row r="86" spans="1:7" x14ac:dyDescent="0.3">
      <c r="A86">
        <v>425149</v>
      </c>
      <c r="B86">
        <v>1226</v>
      </c>
      <c r="C86">
        <f t="shared" si="5"/>
        <v>912.33644600000002</v>
      </c>
      <c r="D86">
        <f t="shared" si="6"/>
        <v>313.66355399999998</v>
      </c>
      <c r="E86">
        <f t="shared" si="7"/>
        <v>98384.825107910903</v>
      </c>
      <c r="F86">
        <f t="shared" si="8"/>
        <v>303.32000000000005</v>
      </c>
      <c r="G86">
        <f t="shared" si="9"/>
        <v>92003.022400000031</v>
      </c>
    </row>
    <row r="87" spans="1:7" x14ac:dyDescent="0.3">
      <c r="A87">
        <v>758</v>
      </c>
      <c r="B87">
        <v>453</v>
      </c>
      <c r="C87">
        <f t="shared" si="5"/>
        <v>804.54113200000006</v>
      </c>
      <c r="D87">
        <f t="shared" si="6"/>
        <v>-351.54113200000006</v>
      </c>
      <c r="E87">
        <f t="shared" si="7"/>
        <v>123581.16748784146</v>
      </c>
      <c r="F87">
        <f t="shared" si="8"/>
        <v>-469.67999999999995</v>
      </c>
      <c r="G87">
        <f t="shared" si="9"/>
        <v>220599.30239999996</v>
      </c>
    </row>
    <row r="88" spans="1:7" x14ac:dyDescent="0.3">
      <c r="A88">
        <v>22471</v>
      </c>
      <c r="B88">
        <v>359</v>
      </c>
      <c r="C88">
        <f t="shared" si="5"/>
        <v>810.05623400000002</v>
      </c>
      <c r="D88">
        <f t="shared" si="6"/>
        <v>-451.05623400000002</v>
      </c>
      <c r="E88">
        <f t="shared" si="7"/>
        <v>203451.72623026278</v>
      </c>
      <c r="F88">
        <f t="shared" si="8"/>
        <v>-563.67999999999995</v>
      </c>
      <c r="G88">
        <f t="shared" si="9"/>
        <v>317735.14239999995</v>
      </c>
    </row>
    <row r="89" spans="1:7" x14ac:dyDescent="0.3">
      <c r="A89">
        <v>1086636</v>
      </c>
      <c r="B89">
        <v>1304</v>
      </c>
      <c r="C89">
        <f t="shared" si="5"/>
        <v>1080.3541439999999</v>
      </c>
      <c r="D89">
        <f t="shared" si="6"/>
        <v>223.64585600000009</v>
      </c>
      <c r="E89">
        <f t="shared" si="7"/>
        <v>50017.468905972775</v>
      </c>
      <c r="F89">
        <f t="shared" si="8"/>
        <v>381.32000000000005</v>
      </c>
      <c r="G89">
        <f t="shared" si="9"/>
        <v>145404.94240000003</v>
      </c>
    </row>
    <row r="90" spans="1:7" x14ac:dyDescent="0.3">
      <c r="A90">
        <v>56896</v>
      </c>
      <c r="B90">
        <v>905</v>
      </c>
      <c r="C90">
        <f t="shared" si="5"/>
        <v>818.80018400000006</v>
      </c>
      <c r="D90">
        <f t="shared" si="6"/>
        <v>86.199815999999942</v>
      </c>
      <c r="E90">
        <f t="shared" si="7"/>
        <v>7430.4082784338461</v>
      </c>
      <c r="F90">
        <f t="shared" si="8"/>
        <v>-17.67999999999995</v>
      </c>
      <c r="G90">
        <f t="shared" si="9"/>
        <v>312.58239999999824</v>
      </c>
    </row>
    <row r="91" spans="1:7" x14ac:dyDescent="0.3">
      <c r="A91">
        <v>346927</v>
      </c>
      <c r="B91">
        <v>1418</v>
      </c>
      <c r="C91">
        <f t="shared" si="5"/>
        <v>892.46805800000004</v>
      </c>
      <c r="D91">
        <f t="shared" si="6"/>
        <v>525.53194199999996</v>
      </c>
      <c r="E91">
        <f t="shared" si="7"/>
        <v>276183.82206229132</v>
      </c>
      <c r="F91">
        <f t="shared" si="8"/>
        <v>495.32000000000005</v>
      </c>
      <c r="G91">
        <f t="shared" si="9"/>
        <v>245341.90240000005</v>
      </c>
    </row>
    <row r="92" spans="1:7" x14ac:dyDescent="0.3">
      <c r="A92">
        <v>701173</v>
      </c>
      <c r="B92">
        <v>1309</v>
      </c>
      <c r="C92">
        <f t="shared" si="5"/>
        <v>982.44654200000002</v>
      </c>
      <c r="D92">
        <f t="shared" si="6"/>
        <v>326.55345799999998</v>
      </c>
      <c r="E92">
        <f t="shared" si="7"/>
        <v>106637.16093175775</v>
      </c>
      <c r="F92">
        <f t="shared" si="8"/>
        <v>386.32000000000005</v>
      </c>
      <c r="G92">
        <f t="shared" si="9"/>
        <v>149243.14240000004</v>
      </c>
    </row>
    <row r="93" spans="1:7" x14ac:dyDescent="0.3">
      <c r="A93">
        <v>87084</v>
      </c>
      <c r="B93">
        <v>321</v>
      </c>
      <c r="C93">
        <f t="shared" si="5"/>
        <v>826.46793600000001</v>
      </c>
      <c r="D93">
        <f t="shared" si="6"/>
        <v>-505.46793600000001</v>
      </c>
      <c r="E93">
        <f t="shared" si="7"/>
        <v>255497.83432410011</v>
      </c>
      <c r="F93">
        <f t="shared" si="8"/>
        <v>-601.67999999999995</v>
      </c>
      <c r="G93">
        <f t="shared" si="9"/>
        <v>362018.82239999995</v>
      </c>
    </row>
    <row r="94" spans="1:7" x14ac:dyDescent="0.3">
      <c r="A94">
        <v>36939</v>
      </c>
      <c r="B94">
        <v>975</v>
      </c>
      <c r="C94">
        <f t="shared" si="5"/>
        <v>813.73110600000007</v>
      </c>
      <c r="D94">
        <f t="shared" si="6"/>
        <v>161.26889399999993</v>
      </c>
      <c r="E94">
        <f t="shared" si="7"/>
        <v>26007.656171983213</v>
      </c>
      <c r="F94">
        <f t="shared" si="8"/>
        <v>52.32000000000005</v>
      </c>
      <c r="G94">
        <f t="shared" si="9"/>
        <v>2737.3824000000054</v>
      </c>
    </row>
    <row r="95" spans="1:7" x14ac:dyDescent="0.3">
      <c r="A95">
        <v>29459</v>
      </c>
      <c r="B95">
        <v>847</v>
      </c>
      <c r="C95">
        <f t="shared" si="5"/>
        <v>811.831186</v>
      </c>
      <c r="D95">
        <f t="shared" si="6"/>
        <v>35.168813999999998</v>
      </c>
      <c r="E95">
        <f t="shared" si="7"/>
        <v>1236.8454781665957</v>
      </c>
      <c r="F95">
        <f t="shared" si="8"/>
        <v>-75.67999999999995</v>
      </c>
      <c r="G95">
        <f t="shared" si="9"/>
        <v>5727.4623999999922</v>
      </c>
    </row>
    <row r="96" spans="1:7" x14ac:dyDescent="0.3">
      <c r="A96">
        <v>34616</v>
      </c>
      <c r="B96">
        <v>750</v>
      </c>
      <c r="C96">
        <f t="shared" si="5"/>
        <v>813.14106400000003</v>
      </c>
      <c r="D96">
        <f t="shared" si="6"/>
        <v>-63.141064000000028</v>
      </c>
      <c r="E96">
        <f t="shared" si="7"/>
        <v>3986.7939630520996</v>
      </c>
      <c r="F96">
        <f t="shared" si="8"/>
        <v>-172.67999999999995</v>
      </c>
      <c r="G96">
        <f t="shared" si="9"/>
        <v>29818.382399999984</v>
      </c>
    </row>
    <row r="97" spans="1:7" x14ac:dyDescent="0.3">
      <c r="A97">
        <v>528023</v>
      </c>
      <c r="B97">
        <v>973</v>
      </c>
      <c r="C97">
        <f t="shared" si="5"/>
        <v>938.46644200000003</v>
      </c>
      <c r="D97">
        <f t="shared" si="6"/>
        <v>34.533557999999971</v>
      </c>
      <c r="E97">
        <f t="shared" si="7"/>
        <v>1192.5666281393619</v>
      </c>
      <c r="F97">
        <f t="shared" si="8"/>
        <v>50.32000000000005</v>
      </c>
      <c r="G97">
        <f t="shared" si="9"/>
        <v>2532.1024000000052</v>
      </c>
    </row>
    <row r="98" spans="1:7" x14ac:dyDescent="0.3">
      <c r="A98">
        <v>1057702</v>
      </c>
      <c r="B98">
        <v>1035</v>
      </c>
      <c r="C98">
        <f t="shared" si="5"/>
        <v>1073.0049079999999</v>
      </c>
      <c r="D98">
        <f t="shared" si="6"/>
        <v>-38.004907999999887</v>
      </c>
      <c r="E98">
        <f t="shared" si="7"/>
        <v>1444.3730320884554</v>
      </c>
      <c r="F98">
        <f t="shared" si="8"/>
        <v>112.32000000000005</v>
      </c>
      <c r="G98">
        <f t="shared" si="9"/>
        <v>12615.782400000011</v>
      </c>
    </row>
    <row r="99" spans="1:7" x14ac:dyDescent="0.3">
      <c r="A99">
        <v>30740</v>
      </c>
      <c r="B99">
        <v>1146</v>
      </c>
      <c r="C99">
        <f t="shared" si="5"/>
        <v>812.15656000000001</v>
      </c>
      <c r="D99">
        <f t="shared" si="6"/>
        <v>333.84343999999999</v>
      </c>
      <c r="E99">
        <f t="shared" si="7"/>
        <v>111451.44243103359</v>
      </c>
      <c r="F99">
        <f t="shared" si="8"/>
        <v>223.32000000000005</v>
      </c>
      <c r="G99">
        <f t="shared" si="9"/>
        <v>49871.822400000019</v>
      </c>
    </row>
    <row r="100" spans="1:7" x14ac:dyDescent="0.3">
      <c r="A100">
        <v>21319</v>
      </c>
      <c r="B100">
        <v>702</v>
      </c>
      <c r="C100">
        <f t="shared" si="5"/>
        <v>809.76362600000004</v>
      </c>
      <c r="D100">
        <f t="shared" si="6"/>
        <v>-107.76362600000004</v>
      </c>
      <c r="E100">
        <f t="shared" si="7"/>
        <v>11612.999088667886</v>
      </c>
      <c r="F100">
        <f t="shared" si="8"/>
        <v>-220.67999999999995</v>
      </c>
      <c r="G100">
        <f t="shared" si="9"/>
        <v>48699.662399999979</v>
      </c>
    </row>
    <row r="101" spans="1:7" x14ac:dyDescent="0.3">
      <c r="A101">
        <v>137</v>
      </c>
      <c r="B101">
        <v>483</v>
      </c>
      <c r="C101">
        <f t="shared" si="5"/>
        <v>804.38339800000006</v>
      </c>
      <c r="D101">
        <f t="shared" si="6"/>
        <v>-321.38339800000006</v>
      </c>
      <c r="E101">
        <f t="shared" si="7"/>
        <v>103287.28851002644</v>
      </c>
      <c r="F101">
        <f t="shared" si="8"/>
        <v>-439.67999999999995</v>
      </c>
      <c r="G101">
        <f t="shared" si="9"/>
        <v>193318.50239999997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CB2C-A799-4AFF-AD47-501433B6F462}">
  <dimension ref="A1:E10"/>
  <sheetViews>
    <sheetView tabSelected="1" workbookViewId="0">
      <selection activeCell="B11" sqref="B11"/>
    </sheetView>
  </sheetViews>
  <sheetFormatPr defaultRowHeight="14.4" x14ac:dyDescent="0.3"/>
  <cols>
    <col min="4" max="4" width="17.44140625" customWidth="1"/>
    <col min="5" max="5" width="22.88671875" customWidth="1"/>
  </cols>
  <sheetData>
    <row r="1" spans="1:5" x14ac:dyDescent="0.3">
      <c r="A1" s="4" t="s">
        <v>42</v>
      </c>
      <c r="B1" s="4" t="s">
        <v>44</v>
      </c>
      <c r="C1" s="4" t="s">
        <v>43</v>
      </c>
      <c r="D1" s="4" t="s">
        <v>48</v>
      </c>
      <c r="E1" s="4" t="s">
        <v>50</v>
      </c>
    </row>
    <row r="2" spans="1:5" x14ac:dyDescent="0.3">
      <c r="A2" s="3" t="s">
        <v>1</v>
      </c>
      <c r="B2" s="3">
        <v>0.44943100000000002</v>
      </c>
      <c r="C2" s="3">
        <v>0.45696999999999999</v>
      </c>
      <c r="D2" s="3">
        <f>B2-C2</f>
        <v>-7.5389999999999624E-3</v>
      </c>
      <c r="E2" s="3" t="s">
        <v>49</v>
      </c>
    </row>
    <row r="3" spans="1:5" x14ac:dyDescent="0.3">
      <c r="A3" s="3" t="s">
        <v>45</v>
      </c>
      <c r="B3" s="3">
        <v>0.342505</v>
      </c>
      <c r="C3" s="3">
        <v>0.324903</v>
      </c>
      <c r="D3" s="3">
        <f t="shared" ref="D3:D4" si="0">B3-C3</f>
        <v>1.7602000000000007E-2</v>
      </c>
      <c r="E3" s="3" t="s">
        <v>49</v>
      </c>
    </row>
    <row r="4" spans="1:5" x14ac:dyDescent="0.3">
      <c r="A4" s="3" t="s">
        <v>3</v>
      </c>
      <c r="B4" s="3">
        <v>0.50086200000000003</v>
      </c>
      <c r="C4" s="3">
        <v>0.52488299999999999</v>
      </c>
      <c r="D4" s="3">
        <f t="shared" si="0"/>
        <v>-2.4020999999999959E-2</v>
      </c>
      <c r="E4" s="3" t="s">
        <v>49</v>
      </c>
    </row>
    <row r="7" spans="1:5" x14ac:dyDescent="0.3">
      <c r="A7" s="2" t="s">
        <v>46</v>
      </c>
    </row>
    <row r="8" spans="1:5" x14ac:dyDescent="0.3">
      <c r="A8" t="s">
        <v>47</v>
      </c>
    </row>
    <row r="9" spans="1:5" x14ac:dyDescent="0.3">
      <c r="A9" t="s">
        <v>51</v>
      </c>
    </row>
    <row r="10" spans="1:5" x14ac:dyDescent="0.3">
      <c r="A1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Training_Set</vt:lpstr>
      <vt:lpstr>TRAIN_MASS</vt:lpstr>
      <vt:lpstr>TRAIN_WSP</vt:lpstr>
      <vt:lpstr>TRAIN_AGE</vt:lpstr>
      <vt:lpstr>Test_Set</vt:lpstr>
      <vt:lpstr>TEST_AGE </vt:lpstr>
      <vt:lpstr>TEST_WSP</vt:lpstr>
      <vt:lpstr>TEST_MASS</vt:lpstr>
      <vt:lpstr>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Nnoso Monica Mokhethi</cp:lastModifiedBy>
  <dcterms:created xsi:type="dcterms:W3CDTF">2026-05-20T01:27:08Z</dcterms:created>
  <dcterms:modified xsi:type="dcterms:W3CDTF">2026-05-31T09:04:17Z</dcterms:modified>
</cp:coreProperties>
</file>